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ertacampiti/Desktop/"/>
    </mc:Choice>
  </mc:AlternateContent>
  <xr:revisionPtr revIDLastSave="0" documentId="13_ncr:1_{79980062-54D8-B045-A427-2F58A930E41C}" xr6:coauthVersionLast="47" xr6:coauthVersionMax="47" xr10:uidLastSave="{00000000-0000-0000-0000-000000000000}"/>
  <bookViews>
    <workbookView xWindow="0" yWindow="740" windowWidth="29000" windowHeight="16560" activeTab="1" xr2:uid="{15C04D3D-F329-C147-B8A4-9164D6454060}"/>
  </bookViews>
  <sheets>
    <sheet name="Foglio2" sheetId="3" r:id="rId1"/>
    <sheet name="Foglio4" sheetId="5" r:id="rId2"/>
    <sheet name="Foglio1" sheetId="1" r:id="rId3"/>
  </sheets>
  <definedNames>
    <definedName name="psg" localSheetId="2">Foglio1!$A$1:$R$51</definedName>
  </definedNames>
  <calcPr calcId="18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1CD8FC-CB73-AF42-BE9C-128DD0123603}" name="psg" type="6" refreshedVersion="8" background="1" saveData="1">
    <textPr sourceFile="/Users/robertacampiti/Desktop/PROGETTO DATA MINING/psg.csv" decimal="," thousands="." tab="0" comma="1">
      <textFields count="1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<sst xmlns="http://schemas.openxmlformats.org/spreadsheetml/2006/main" count="487" uniqueCount="142">
  <si>
    <t>ID_PERFORMANCE</t>
  </si>
  <si>
    <t>ID_SQUADRA</t>
  </si>
  <si>
    <t>ID_PARTITA</t>
  </si>
  <si>
    <t>CODICE_FISCALE</t>
  </si>
  <si>
    <t>PUNTI_TOTALI_PARTITA</t>
  </si>
  <si>
    <t>NOME_ARBITRO</t>
  </si>
  <si>
    <t>DATA_PARTITA</t>
  </si>
  <si>
    <t>SET_VINTI_CASA</t>
  </si>
  <si>
    <t>SET_VINTI_OSPITE</t>
  </si>
  <si>
    <t>NOME_SQUADRA</t>
  </si>
  <si>
    <t>ANNO_FONDAZIONE</t>
  </si>
  <si>
    <t>NOME_DIVISIONE</t>
  </si>
  <si>
    <t>TIPO_CAMPIONATO</t>
  </si>
  <si>
    <t>NOME_GIOCATORE</t>
  </si>
  <si>
    <t>COGNOME_GIOCATORE</t>
  </si>
  <si>
    <t>DATA_NASCITA</t>
  </si>
  <si>
    <t>NOME_RUOLO</t>
  </si>
  <si>
    <t>TIPO_ALLENAMENTO</t>
  </si>
  <si>
    <t>BNCHGL95C62F205X</t>
  </si>
  <si>
    <t>Enea</t>
  </si>
  <si>
    <t>Nazionale italiana</t>
  </si>
  <si>
    <t>Italia</t>
  </si>
  <si>
    <t>Volleyball World Championship</t>
  </si>
  <si>
    <t>Giulia</t>
  </si>
  <si>
    <t>Bianchi</t>
  </si>
  <si>
    <t>Libero</t>
  </si>
  <si>
    <t>Tecnico</t>
  </si>
  <si>
    <t>NRIFPP92E03F205F</t>
  </si>
  <si>
    <t>Alberto</t>
  </si>
  <si>
    <t>Filippo</t>
  </si>
  <si>
    <t>Neri</t>
  </si>
  <si>
    <t>Banda</t>
  </si>
  <si>
    <t>Coordinativo</t>
  </si>
  <si>
    <t>BRBCHR07R46F205T</t>
  </si>
  <si>
    <t>Antonio</t>
  </si>
  <si>
    <t xml:space="preserve">Chiara </t>
  </si>
  <si>
    <t>Barbieri</t>
  </si>
  <si>
    <t>GRSLNE01S61F205Y</t>
  </si>
  <si>
    <t>Rosa</t>
  </si>
  <si>
    <t>Elena</t>
  </si>
  <si>
    <t>Grassi</t>
  </si>
  <si>
    <t>Opposto</t>
  </si>
  <si>
    <t>Mentale</t>
  </si>
  <si>
    <t>Barbara</t>
  </si>
  <si>
    <t>Lavinia</t>
  </si>
  <si>
    <t>Imoco Conegliano</t>
  </si>
  <si>
    <t>Serie A1</t>
  </si>
  <si>
    <t>Campionato Nazionale Professionistico</t>
  </si>
  <si>
    <t>PGNFDR99L21F205I</t>
  </si>
  <si>
    <t>Lorenzo</t>
  </si>
  <si>
    <t>Federico</t>
  </si>
  <si>
    <t>Pagani</t>
  </si>
  <si>
    <t>Centrale</t>
  </si>
  <si>
    <t>Tattico</t>
  </si>
  <si>
    <t>CLMGBR07R04F205B</t>
  </si>
  <si>
    <t>Martina</t>
  </si>
  <si>
    <t>Gabriele</t>
  </si>
  <si>
    <t>Colombo</t>
  </si>
  <si>
    <t>Isoide</t>
  </si>
  <si>
    <t>Sada Cruzeiro</t>
  </si>
  <si>
    <t>Brasile</t>
  </si>
  <si>
    <t>RMNFRN96C10F205I</t>
  </si>
  <si>
    <t>Patrizia</t>
  </si>
  <si>
    <t>Francesco</t>
  </si>
  <si>
    <t>Romano</t>
  </si>
  <si>
    <t>Palleggio</t>
  </si>
  <si>
    <t>Fisico</t>
  </si>
  <si>
    <t>CRSLNE02E45F205W</t>
  </si>
  <si>
    <t>Carlo</t>
  </si>
  <si>
    <t>Caruso</t>
  </si>
  <si>
    <t>VRDLCA88L05Z404N</t>
  </si>
  <si>
    <t>Luca</t>
  </si>
  <si>
    <t>Verdi</t>
  </si>
  <si>
    <t>Ivo</t>
  </si>
  <si>
    <t>Sir Safety Susa Perugia</t>
  </si>
  <si>
    <t>Super Lega</t>
  </si>
  <si>
    <t>Champions League</t>
  </si>
  <si>
    <t>RSSGLI10A31F205G</t>
  </si>
  <si>
    <t>Gaia</t>
  </si>
  <si>
    <t>Russo</t>
  </si>
  <si>
    <t>FRRLSS87R70A944X</t>
  </si>
  <si>
    <t>Jessica</t>
  </si>
  <si>
    <t>Alessandra</t>
  </si>
  <si>
    <t>Ferrari</t>
  </si>
  <si>
    <t>VLLCLD09P26F205F</t>
  </si>
  <si>
    <t>Claudia</t>
  </si>
  <si>
    <t>Villa</t>
  </si>
  <si>
    <t>Elio</t>
  </si>
  <si>
    <t>Igor Novara</t>
  </si>
  <si>
    <t>Serie A2</t>
  </si>
  <si>
    <t>RSSMRC90A15H501Z</t>
  </si>
  <si>
    <t>Luigi</t>
  </si>
  <si>
    <t>Marco</t>
  </si>
  <si>
    <t>Rossi</t>
  </si>
  <si>
    <t>FRRNDR98L17F205V</t>
  </si>
  <si>
    <t>Loredana</t>
  </si>
  <si>
    <t>Andrea</t>
  </si>
  <si>
    <t>TSTGBR95M55F205R</t>
  </si>
  <si>
    <t>Testa</t>
  </si>
  <si>
    <t>Malik</t>
  </si>
  <si>
    <t>New Volley</t>
  </si>
  <si>
    <t>Prima Divisione</t>
  </si>
  <si>
    <t>Campionato Amatoriale</t>
  </si>
  <si>
    <t>SNTLSS09T71F205K</t>
  </si>
  <si>
    <t>Paolo</t>
  </si>
  <si>
    <t>Alessia</t>
  </si>
  <si>
    <t>Santoro</t>
  </si>
  <si>
    <t>Pierpaolo</t>
  </si>
  <si>
    <t>SPSCLD95P18F205B</t>
  </si>
  <si>
    <t>Esposito</t>
  </si>
  <si>
    <t>Amira</t>
  </si>
  <si>
    <t>Stelle della Rete</t>
  </si>
  <si>
    <t>Under 16</t>
  </si>
  <si>
    <t>Campionato Giovanile</t>
  </si>
  <si>
    <t>Caterina</t>
  </si>
  <si>
    <t>LMBLRN05L24F205K</t>
  </si>
  <si>
    <t>Alessandro</t>
  </si>
  <si>
    <t>Lombardi</t>
  </si>
  <si>
    <t>Camelia</t>
  </si>
  <si>
    <t>Draghi del Fuoco</t>
  </si>
  <si>
    <t>Under 18</t>
  </si>
  <si>
    <t>Fabrizio</t>
  </si>
  <si>
    <t>MRCLNR04L58F205R</t>
  </si>
  <si>
    <t>Maurizio</t>
  </si>
  <si>
    <t>Leonardo</t>
  </si>
  <si>
    <t>Marchi</t>
  </si>
  <si>
    <t>Sant'Anna Tomcar</t>
  </si>
  <si>
    <t>Serie B</t>
  </si>
  <si>
    <t>Giuseppe</t>
  </si>
  <si>
    <t>MRTGRG95P26F205A</t>
  </si>
  <si>
    <t>Ilenia</t>
  </si>
  <si>
    <t xml:space="preserve">Giorgia </t>
  </si>
  <si>
    <t>Moretti</t>
  </si>
  <si>
    <t>Volley Club Pinerolo</t>
  </si>
  <si>
    <t>Seconda Divisione</t>
  </si>
  <si>
    <t>Daniela</t>
  </si>
  <si>
    <t>Somma di SET_VINTI_CASA</t>
  </si>
  <si>
    <t>Etichette di riga</t>
  </si>
  <si>
    <t>Totale complessivo</t>
  </si>
  <si>
    <t>Somma di SET_VINTI_OSPITE</t>
  </si>
  <si>
    <t>Drill-down:</t>
  </si>
  <si>
    <t xml:space="preserve">Slice: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</si>
</sst>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a Campiti" refreshedDate="45632.644140856479" createdVersion="8" refreshedVersion="8" minRefreshableVersion="3" recordCount="50" xr:uid="{0AC0893D-F024-AF42-8BA6-DCBC5D97530A}">
  <cacheSource type="worksheet">
    <worksheetSource ref="A1:R51" sheet="Foglio1"/>
  </cacheSource>
  <cacheFields count="18">
    <cacheField name="ID_PERFORMANCE" numFmtId="0">
      <sharedItems containsSemiMixedTypes="0" containsString="0" containsNumber="1" containsInteger="1" minValue="1" maxValue="50"/>
    </cacheField>
    <cacheField name="ID_SQUADRA" numFmtId="0">
      <sharedItems containsSemiMixedTypes="0" containsString="0" containsNumber="1" containsInteger="1" minValue="1001" maxValue="1010"/>
    </cacheField>
    <cacheField name="ID_PARTITA" numFmtId="0">
      <sharedItems containsSemiMixedTypes="0" containsString="0" containsNumber="1" containsInteger="1" minValue="1" maxValue="30"/>
    </cacheField>
    <cacheField name="CODICE_FISCALE" numFmtId="0">
      <sharedItems/>
    </cacheField>
    <cacheField name="PUNTI_TOTALI_PARTITA" numFmtId="0">
      <sharedItems containsSemiMixedTypes="0" containsString="0" containsNumber="1" containsInteger="1" minValue="0" maxValue="29"/>
    </cacheField>
    <cacheField name="NOME_ARBITRO" numFmtId="0">
      <sharedItems/>
    </cacheField>
    <cacheField name="DATA_PARTITA" numFmtId="14">
      <sharedItems containsSemiMixedTypes="0" containsNonDate="0" containsDate="1" containsString="0" minDate="2023-01-24T00:00:00" maxDate="2023-12-21T00:00:00"/>
    </cacheField>
    <cacheField name="SET_VINTI_CASA" numFmtId="0">
      <sharedItems containsSemiMixedTypes="0" containsString="0" containsNumber="1" containsInteger="1" minValue="0" maxValue="3" count="4">
        <n v="0"/>
        <n v="3"/>
        <n v="2"/>
        <n v="1"/>
      </sharedItems>
    </cacheField>
    <cacheField name="SET_VINTI_OSPITE" numFmtId="0">
      <sharedItems containsSemiMixedTypes="0" containsString="0" containsNumber="1" containsInteger="1" minValue="0" maxValue="3"/>
    </cacheField>
    <cacheField name="NOME_SQUADRA" numFmtId="0">
      <sharedItems count="10">
        <s v="Nazionale italiana"/>
        <s v="Imoco Conegliano"/>
        <s v="Sada Cruzeiro"/>
        <s v="Sir Safety Susa Perugia"/>
        <s v="Igor Novara"/>
        <s v="New Volley"/>
        <s v="Stelle della Rete"/>
        <s v="Draghi del Fuoco"/>
        <s v="Sant'Anna Tomcar"/>
        <s v="Volley Club Pinerolo"/>
      </sharedItems>
    </cacheField>
    <cacheField name="ANNO_FONDAZIONE" numFmtId="0">
      <sharedItems containsSemiMixedTypes="0" containsString="0" containsNumber="1" containsInteger="1" minValue="1946" maxValue="2004" count="8">
        <n v="1947"/>
        <n v="2004"/>
        <n v="1946"/>
        <n v="2001"/>
        <n v="1990"/>
        <n v="2003"/>
        <n v="1986"/>
        <n v="2000"/>
      </sharedItems>
    </cacheField>
    <cacheField name="NOME_DIVISIONE" numFmtId="0">
      <sharedItems/>
    </cacheField>
    <cacheField name="TIPO_CAMPIONATO" numFmtId="0">
      <sharedItems/>
    </cacheField>
    <cacheField name="NOME_GIOCATORE" numFmtId="0">
      <sharedItems/>
    </cacheField>
    <cacheField name="COGNOME_GIOCATORE" numFmtId="0">
      <sharedItems/>
    </cacheField>
    <cacheField name="DATA_NASCITA" numFmtId="14">
      <sharedItems containsSemiMixedTypes="0" containsNonDate="0" containsDate="1" containsString="0" minDate="1987-10-30T00:00:00" maxDate="2010-02-01T00:00:00"/>
    </cacheField>
    <cacheField name="NOME_RUOLO" numFmtId="0">
      <sharedItems/>
    </cacheField>
    <cacheField name="TIPO_ALLENAMEN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"/>
    <n v="1001"/>
    <n v="1"/>
    <s v="BNCHGL95C62F205X"/>
    <n v="12"/>
    <s v="Enea"/>
    <d v="2023-01-31T00:00:00"/>
    <x v="0"/>
    <n v="3"/>
    <x v="0"/>
    <x v="0"/>
    <s v="Italia"/>
    <s v="Volleyball World Championship"/>
    <s v="Giulia"/>
    <s v="Bianchi"/>
    <d v="1995-03-22T00:00:00"/>
    <s v="Libero"/>
    <s v="Tecnico"/>
  </r>
  <r>
    <n v="11"/>
    <n v="1001"/>
    <n v="11"/>
    <s v="NRIFPP92E03F205F"/>
    <n v="2"/>
    <s v="Alberto"/>
    <d v="2023-01-24T00:00:00"/>
    <x v="1"/>
    <n v="1"/>
    <x v="0"/>
    <x v="0"/>
    <s v="Italia"/>
    <s v="Volleyball World Championship"/>
    <s v="Filippo"/>
    <s v="Neri"/>
    <d v="1992-05-03T00:00:00"/>
    <s v="Banda"/>
    <s v="Coordinativo"/>
  </r>
  <r>
    <n v="21"/>
    <n v="1001"/>
    <n v="21"/>
    <s v="BRBCHR07R46F205T"/>
    <n v="7"/>
    <s v="Antonio"/>
    <d v="2023-06-19T00:00:00"/>
    <x v="0"/>
    <n v="3"/>
    <x v="0"/>
    <x v="0"/>
    <s v="Italia"/>
    <s v="Volleyball World Championship"/>
    <s v="Chiara "/>
    <s v="Barbieri"/>
    <d v="2007-10-06T00:00:00"/>
    <s v="Libero"/>
    <s v="Tecnico"/>
  </r>
  <r>
    <n v="40"/>
    <n v="1001"/>
    <n v="10"/>
    <s v="GRSLNE01S61F205Y"/>
    <n v="15"/>
    <s v="Rosa"/>
    <d v="2023-11-09T00:00:00"/>
    <x v="2"/>
    <n v="3"/>
    <x v="0"/>
    <x v="0"/>
    <s v="Italia"/>
    <s v="Volleyball World Championship"/>
    <s v="Elena"/>
    <s v="Grassi"/>
    <d v="2001-11-21T00:00:00"/>
    <s v="Opposto"/>
    <s v="Mentale"/>
  </r>
  <r>
    <n v="41"/>
    <n v="1001"/>
    <n v="20"/>
    <s v="BNCHGL95C62F205X"/>
    <n v="23"/>
    <s v="Barbara"/>
    <d v="2023-06-06T00:00:00"/>
    <x v="1"/>
    <n v="2"/>
    <x v="0"/>
    <x v="0"/>
    <s v="Italia"/>
    <s v="Volleyball World Championship"/>
    <s v="Giulia"/>
    <s v="Bianchi"/>
    <d v="1995-03-22T00:00:00"/>
    <s v="Libero"/>
    <s v="Tecnico"/>
  </r>
  <r>
    <n v="2"/>
    <n v="1002"/>
    <n v="2"/>
    <s v="BRBCHR07R46F205T"/>
    <n v="21"/>
    <s v="Lavinia"/>
    <d v="2023-02-08T00:00:00"/>
    <x v="1"/>
    <n v="2"/>
    <x v="1"/>
    <x v="1"/>
    <s v="Serie A1"/>
    <s v="Campionato Nazionale Professionistico"/>
    <s v="Chiara "/>
    <s v="Barbieri"/>
    <d v="2007-10-06T00:00:00"/>
    <s v="Libero"/>
    <s v="Tecnico"/>
  </r>
  <r>
    <n v="12"/>
    <n v="1002"/>
    <n v="12"/>
    <s v="PGNFDR99L21F205I"/>
    <n v="26"/>
    <s v="Lorenzo"/>
    <d v="2023-03-20T00:00:00"/>
    <x v="2"/>
    <n v="3"/>
    <x v="1"/>
    <x v="1"/>
    <s v="Serie A1"/>
    <s v="Campionato Nazionale Professionistico"/>
    <s v="Federico"/>
    <s v="Pagani"/>
    <d v="1999-07-21T00:00:00"/>
    <s v="Centrale"/>
    <s v="Tattico"/>
  </r>
  <r>
    <n v="22"/>
    <n v="1002"/>
    <n v="22"/>
    <s v="CLMGBR07R04F205B"/>
    <n v="3"/>
    <s v="Martina"/>
    <d v="2023-09-25T00:00:00"/>
    <x v="1"/>
    <n v="0"/>
    <x v="1"/>
    <x v="1"/>
    <s v="Serie A1"/>
    <s v="Campionato Nazionale Professionistico"/>
    <s v="Gabriele"/>
    <s v="Colombo"/>
    <d v="2007-10-04T00:00:00"/>
    <s v="Banda"/>
    <s v="Coordinativo"/>
  </r>
  <r>
    <n v="31"/>
    <n v="1002"/>
    <n v="1"/>
    <s v="BNCHGL95C62F205X"/>
    <n v="0"/>
    <s v="Enea"/>
    <d v="2023-01-31T00:00:00"/>
    <x v="0"/>
    <n v="3"/>
    <x v="1"/>
    <x v="1"/>
    <s v="Serie A1"/>
    <s v="Campionato Nazionale Professionistico"/>
    <s v="Giulia"/>
    <s v="Bianchi"/>
    <d v="1995-03-22T00:00:00"/>
    <s v="Libero"/>
    <s v="Tecnico"/>
  </r>
  <r>
    <n v="42"/>
    <n v="1002"/>
    <n v="21"/>
    <s v="BRBCHR07R46F205T"/>
    <n v="12"/>
    <s v="Antonio"/>
    <d v="2023-06-19T00:00:00"/>
    <x v="0"/>
    <n v="3"/>
    <x v="1"/>
    <x v="1"/>
    <s v="Serie A1"/>
    <s v="Campionato Nazionale Professionistico"/>
    <s v="Chiara "/>
    <s v="Barbieri"/>
    <d v="2007-10-06T00:00:00"/>
    <s v="Libero"/>
    <s v="Tecnico"/>
  </r>
  <r>
    <n v="3"/>
    <n v="1003"/>
    <n v="3"/>
    <s v="CLMGBR07R04F205B"/>
    <n v="15"/>
    <s v="Isoide"/>
    <d v="2023-03-12T00:00:00"/>
    <x v="1"/>
    <n v="1"/>
    <x v="2"/>
    <x v="1"/>
    <s v="Brasile"/>
    <s v="Volleyball World Championship"/>
    <s v="Gabriele"/>
    <s v="Colombo"/>
    <d v="2007-10-04T00:00:00"/>
    <s v="Banda"/>
    <s v="Coordinativo"/>
  </r>
  <r>
    <n v="13"/>
    <n v="1003"/>
    <n v="13"/>
    <s v="RMNFRN96C10F205I"/>
    <n v="22"/>
    <s v="Patrizia"/>
    <d v="2023-04-06T00:00:00"/>
    <x v="1"/>
    <n v="0"/>
    <x v="2"/>
    <x v="1"/>
    <s v="Brasile"/>
    <s v="Volleyball World Championship"/>
    <s v="Francesco"/>
    <s v="Romano"/>
    <d v="1996-03-10T00:00:00"/>
    <s v="Palleggio"/>
    <s v="Fisico"/>
  </r>
  <r>
    <n v="23"/>
    <n v="1003"/>
    <n v="23"/>
    <s v="CRSLNE02E45F205W"/>
    <n v="13"/>
    <s v="Carlo"/>
    <d v="2023-10-20T00:00:00"/>
    <x v="1"/>
    <n v="1"/>
    <x v="2"/>
    <x v="1"/>
    <s v="Brasile"/>
    <s v="Volleyball World Championship"/>
    <s v="Elena"/>
    <s v="Caruso"/>
    <d v="2002-05-05T00:00:00"/>
    <s v="Opposto"/>
    <s v="Mentale"/>
  </r>
  <r>
    <n v="32"/>
    <n v="1003"/>
    <n v="2"/>
    <s v="VRDLCA88L05Z404N"/>
    <n v="24"/>
    <s v="Lavinia"/>
    <d v="2023-02-08T00:00:00"/>
    <x v="1"/>
    <n v="2"/>
    <x v="2"/>
    <x v="1"/>
    <s v="Brasile"/>
    <s v="Volleyball World Championship"/>
    <s v="Luca"/>
    <s v="Verdi"/>
    <d v="1988-07-05T00:00:00"/>
    <s v="Centrale"/>
    <s v="Tattico"/>
  </r>
  <r>
    <n v="43"/>
    <n v="1003"/>
    <n v="23"/>
    <s v="CLMGBR07R04F205B"/>
    <n v="16"/>
    <s v="Carlo"/>
    <d v="2023-10-20T00:00:00"/>
    <x v="1"/>
    <n v="1"/>
    <x v="2"/>
    <x v="1"/>
    <s v="Brasile"/>
    <s v="Volleyball World Championship"/>
    <s v="Gabriele"/>
    <s v="Colombo"/>
    <d v="2007-10-04T00:00:00"/>
    <s v="Banda"/>
    <s v="Coordinativo"/>
  </r>
  <r>
    <n v="4"/>
    <n v="1004"/>
    <n v="4"/>
    <s v="CRSLNE02E45F205W"/>
    <n v="9"/>
    <s v="Ivo"/>
    <d v="2023-04-26T00:00:00"/>
    <x v="0"/>
    <n v="3"/>
    <x v="3"/>
    <x v="0"/>
    <s v="Super Lega"/>
    <s v="Champions League"/>
    <s v="Elena"/>
    <s v="Caruso"/>
    <d v="2002-05-05T00:00:00"/>
    <s v="Opposto"/>
    <s v="Mentale"/>
  </r>
  <r>
    <n v="14"/>
    <n v="1004"/>
    <n v="14"/>
    <s v="RSSGLI10A31F205G"/>
    <n v="18"/>
    <s v="Gaia"/>
    <d v="2023-09-29T00:00:00"/>
    <x v="3"/>
    <n v="3"/>
    <x v="3"/>
    <x v="0"/>
    <s v="Super Lega"/>
    <s v="Champions League"/>
    <s v="Giulia"/>
    <s v="Russo"/>
    <d v="2010-01-31T00:00:00"/>
    <s v="Centrale"/>
    <s v="Tattico"/>
  </r>
  <r>
    <n v="24"/>
    <n v="1004"/>
    <n v="24"/>
    <s v="FRRLSS87R70A944X"/>
    <n v="12"/>
    <s v="Jessica"/>
    <d v="2023-10-30T00:00:00"/>
    <x v="1"/>
    <n v="2"/>
    <x v="3"/>
    <x v="0"/>
    <s v="Super Lega"/>
    <s v="Champions League"/>
    <s v="Alessandra"/>
    <s v="Ferrari"/>
    <d v="1987-10-30T00:00:00"/>
    <s v="Opposto"/>
    <s v="Mentale"/>
  </r>
  <r>
    <n v="33"/>
    <n v="1004"/>
    <n v="3"/>
    <s v="VLLCLD09P26F205F"/>
    <n v="27"/>
    <s v="Isoide"/>
    <d v="2023-03-12T00:00:00"/>
    <x v="1"/>
    <n v="1"/>
    <x v="3"/>
    <x v="0"/>
    <s v="Super Lega"/>
    <s v="Champions League"/>
    <s v="Claudia"/>
    <s v="Villa"/>
    <d v="2009-09-26T00:00:00"/>
    <s v="Libero"/>
    <s v="Tecnico"/>
  </r>
  <r>
    <n v="44"/>
    <n v="1004"/>
    <n v="24"/>
    <s v="CRSLNE02E45F205W"/>
    <n v="18"/>
    <s v="Jessica"/>
    <d v="2023-10-30T00:00:00"/>
    <x v="1"/>
    <n v="2"/>
    <x v="3"/>
    <x v="0"/>
    <s v="Super Lega"/>
    <s v="Champions League"/>
    <s v="Elena"/>
    <s v="Caruso"/>
    <d v="2002-05-05T00:00:00"/>
    <s v="Opposto"/>
    <s v="Mentale"/>
  </r>
  <r>
    <n v="5"/>
    <n v="1005"/>
    <n v="5"/>
    <s v="FRRLSS87R70A944X"/>
    <n v="20"/>
    <s v="Elio"/>
    <d v="2023-05-02T00:00:00"/>
    <x v="2"/>
    <n v="3"/>
    <x v="4"/>
    <x v="2"/>
    <s v="Serie A2"/>
    <s v="Campionato Nazionale Professionistico"/>
    <s v="Alessandra"/>
    <s v="Ferrari"/>
    <d v="1987-10-30T00:00:00"/>
    <s v="Opposto"/>
    <s v="Mentale"/>
  </r>
  <r>
    <n v="15"/>
    <n v="1005"/>
    <n v="15"/>
    <s v="RSSMRC90A15H501Z"/>
    <n v="15"/>
    <s v="Luigi"/>
    <d v="2023-11-06T00:00:00"/>
    <x v="1"/>
    <n v="2"/>
    <x v="4"/>
    <x v="2"/>
    <s v="Serie A2"/>
    <s v="Campionato Nazionale Professionistico"/>
    <s v="Marco"/>
    <s v="Rossi"/>
    <d v="1990-01-15T00:00:00"/>
    <s v="Palleggio"/>
    <s v="Fisico"/>
  </r>
  <r>
    <n v="25"/>
    <n v="1005"/>
    <n v="25"/>
    <s v="FRRNDR98L17F205V"/>
    <n v="17"/>
    <s v="Loredana"/>
    <d v="2023-11-15T00:00:00"/>
    <x v="2"/>
    <n v="3"/>
    <x v="4"/>
    <x v="2"/>
    <s v="Serie A2"/>
    <s v="Campionato Nazionale Professionistico"/>
    <s v="Andrea"/>
    <s v="Ferrari"/>
    <d v="1998-07-17T00:00:00"/>
    <s v="Banda"/>
    <s v="Coordinativo"/>
  </r>
  <r>
    <n v="34"/>
    <n v="1005"/>
    <n v="4"/>
    <s v="TSTGBR95M55F205R"/>
    <n v="11"/>
    <s v="Ivo"/>
    <d v="2023-04-26T00:00:00"/>
    <x v="0"/>
    <n v="3"/>
    <x v="4"/>
    <x v="2"/>
    <s v="Serie A2"/>
    <s v="Campionato Nazionale Professionistico"/>
    <s v="Gabriele"/>
    <s v="Testa"/>
    <d v="1995-08-15T00:00:00"/>
    <s v="Palleggio"/>
    <s v="Fisico"/>
  </r>
  <r>
    <n v="45"/>
    <n v="1005"/>
    <n v="25"/>
    <s v="FRRLSS87R70A944X"/>
    <n v="15"/>
    <s v="Loredana"/>
    <d v="2023-11-15T00:00:00"/>
    <x v="2"/>
    <n v="3"/>
    <x v="4"/>
    <x v="2"/>
    <s v="Serie A2"/>
    <s v="Campionato Nazionale Professionistico"/>
    <s v="Alessandra"/>
    <s v="Ferrari"/>
    <d v="1987-10-30T00:00:00"/>
    <s v="Opposto"/>
    <s v="Mentale"/>
  </r>
  <r>
    <n v="6"/>
    <n v="1006"/>
    <n v="6"/>
    <s v="FRRNDR98L17F205V"/>
    <n v="5"/>
    <s v="Malik"/>
    <d v="2023-06-09T00:00:00"/>
    <x v="3"/>
    <n v="3"/>
    <x v="5"/>
    <x v="3"/>
    <s v="Prima Divisione"/>
    <s v="Campionato Amatoriale"/>
    <s v="Andrea"/>
    <s v="Ferrari"/>
    <d v="1998-07-17T00:00:00"/>
    <s v="Banda"/>
    <s v="Coordinativo"/>
  </r>
  <r>
    <n v="16"/>
    <n v="1006"/>
    <n v="16"/>
    <s v="SNTLSS09T71F205K"/>
    <n v="11"/>
    <s v="Paolo"/>
    <d v="2023-12-19T00:00:00"/>
    <x v="1"/>
    <n v="0"/>
    <x v="5"/>
    <x v="3"/>
    <s v="Prima Divisione"/>
    <s v="Campionato Amatoriale"/>
    <s v="Alessia"/>
    <s v="Santoro"/>
    <d v="2009-12-31T00:00:00"/>
    <s v="Libero"/>
    <s v="Tecnico"/>
  </r>
  <r>
    <n v="26"/>
    <n v="1006"/>
    <n v="26"/>
    <s v="GRSLNE01S61F205Y"/>
    <n v="21"/>
    <s v="Pierpaolo"/>
    <d v="2023-11-22T00:00:00"/>
    <x v="1"/>
    <n v="0"/>
    <x v="5"/>
    <x v="3"/>
    <s v="Prima Divisione"/>
    <s v="Campionato Amatoriale"/>
    <s v="Elena"/>
    <s v="Grassi"/>
    <d v="2001-11-21T00:00:00"/>
    <s v="Opposto"/>
    <s v="Mentale"/>
  </r>
  <r>
    <n v="35"/>
    <n v="1006"/>
    <n v="5"/>
    <s v="SPSCLD95P18F205B"/>
    <n v="13"/>
    <s v="Elio"/>
    <d v="2023-05-02T00:00:00"/>
    <x v="2"/>
    <n v="3"/>
    <x v="5"/>
    <x v="3"/>
    <s v="Prima Divisione"/>
    <s v="Campionato Amatoriale"/>
    <s v="Claudia"/>
    <s v="Esposito"/>
    <d v="1995-09-18T00:00:00"/>
    <s v="Centrale"/>
    <s v="Tattico"/>
  </r>
  <r>
    <n v="46"/>
    <n v="1006"/>
    <n v="26"/>
    <s v="FRRNDR98L17F205V"/>
    <n v="14"/>
    <s v="Pierpaolo"/>
    <d v="2023-11-22T00:00:00"/>
    <x v="1"/>
    <n v="0"/>
    <x v="5"/>
    <x v="3"/>
    <s v="Prima Divisione"/>
    <s v="Campionato Amatoriale"/>
    <s v="Andrea"/>
    <s v="Ferrari"/>
    <d v="1998-07-17T00:00:00"/>
    <s v="Banda"/>
    <s v="Coordinativo"/>
  </r>
  <r>
    <n v="7"/>
    <n v="1007"/>
    <n v="7"/>
    <s v="GRSLNE01S61F205Y"/>
    <n v="18"/>
    <s v="Amira"/>
    <d v="2023-10-03T00:00:00"/>
    <x v="1"/>
    <n v="1"/>
    <x v="6"/>
    <x v="4"/>
    <s v="Under 16"/>
    <s v="Campionato Giovanile"/>
    <s v="Elena"/>
    <s v="Grassi"/>
    <d v="2001-11-21T00:00:00"/>
    <s v="Opposto"/>
    <s v="Mentale"/>
  </r>
  <r>
    <n v="17"/>
    <n v="1007"/>
    <n v="17"/>
    <s v="SPSCLD95P18F205B"/>
    <n v="29"/>
    <s v="Caterina"/>
    <d v="2023-03-22T00:00:00"/>
    <x v="2"/>
    <n v="3"/>
    <x v="6"/>
    <x v="4"/>
    <s v="Under 16"/>
    <s v="Campionato Giovanile"/>
    <s v="Claudia"/>
    <s v="Esposito"/>
    <d v="1995-09-18T00:00:00"/>
    <s v="Centrale"/>
    <s v="Tattico"/>
  </r>
  <r>
    <n v="27"/>
    <n v="1007"/>
    <n v="27"/>
    <s v="LMBLRN05L24F205K"/>
    <n v="20"/>
    <s v="Alessandro"/>
    <d v="2023-12-04T00:00:00"/>
    <x v="1"/>
    <n v="0"/>
    <x v="6"/>
    <x v="4"/>
    <s v="Under 16"/>
    <s v="Campionato Giovanile"/>
    <s v="Lorenzo"/>
    <s v="Lombardi"/>
    <d v="2005-07-24T00:00:00"/>
    <s v="Palleggio"/>
    <s v="Fisico"/>
  </r>
  <r>
    <n v="36"/>
    <n v="1007"/>
    <n v="6"/>
    <s v="SNTLSS09T71F205K"/>
    <n v="7"/>
    <s v="Malik"/>
    <d v="2023-06-09T00:00:00"/>
    <x v="3"/>
    <n v="3"/>
    <x v="6"/>
    <x v="4"/>
    <s v="Under 16"/>
    <s v="Campionato Giovanile"/>
    <s v="Alessia"/>
    <s v="Santoro"/>
    <d v="2009-12-31T00:00:00"/>
    <s v="Libero"/>
    <s v="Tecnico"/>
  </r>
  <r>
    <n v="47"/>
    <n v="1007"/>
    <n v="27"/>
    <s v="GRSLNE01S61F205Y"/>
    <n v="11"/>
    <s v="Alessandro"/>
    <d v="2023-12-04T00:00:00"/>
    <x v="1"/>
    <n v="0"/>
    <x v="6"/>
    <x v="4"/>
    <s v="Under 16"/>
    <s v="Campionato Giovanile"/>
    <s v="Elena"/>
    <s v="Grassi"/>
    <d v="2001-11-21T00:00:00"/>
    <s v="Opposto"/>
    <s v="Mentale"/>
  </r>
  <r>
    <n v="8"/>
    <n v="1008"/>
    <n v="8"/>
    <s v="LMBLRN05L24F205K"/>
    <n v="24"/>
    <s v="Camelia"/>
    <d v="2023-10-26T00:00:00"/>
    <x v="1"/>
    <n v="0"/>
    <x v="7"/>
    <x v="5"/>
    <s v="Under 18"/>
    <s v="Campionato Giovanile"/>
    <s v="Lorenzo"/>
    <s v="Lombardi"/>
    <d v="2005-07-24T00:00:00"/>
    <s v="Palleggio"/>
    <s v="Fisico"/>
  </r>
  <r>
    <n v="18"/>
    <n v="1008"/>
    <n v="18"/>
    <s v="TSTGBR95M55F205R"/>
    <n v="22"/>
    <s v="Fabrizio"/>
    <d v="2023-02-11T00:00:00"/>
    <x v="0"/>
    <n v="3"/>
    <x v="7"/>
    <x v="5"/>
    <s v="Under 18"/>
    <s v="Campionato Giovanile"/>
    <s v="Gabriele"/>
    <s v="Testa"/>
    <d v="1995-08-15T00:00:00"/>
    <s v="Palleggio"/>
    <s v="Fisico"/>
  </r>
  <r>
    <n v="28"/>
    <n v="1008"/>
    <n v="28"/>
    <s v="MRCLNR04L58F205R"/>
    <n v="14"/>
    <s v="Maurizio"/>
    <d v="2023-12-20T00:00:00"/>
    <x v="1"/>
    <n v="1"/>
    <x v="7"/>
    <x v="5"/>
    <s v="Under 18"/>
    <s v="Campionato Giovanile"/>
    <s v="Leonardo"/>
    <s v="Marchi"/>
    <d v="2004-07-18T00:00:00"/>
    <s v="Banda"/>
    <s v="Coordinativo"/>
  </r>
  <r>
    <n v="37"/>
    <n v="1008"/>
    <n v="7"/>
    <s v="RSSMRC90A15H501Z"/>
    <n v="9"/>
    <s v="Amira"/>
    <d v="2023-10-03T00:00:00"/>
    <x v="1"/>
    <n v="1"/>
    <x v="7"/>
    <x v="5"/>
    <s v="Under 18"/>
    <s v="Campionato Giovanile"/>
    <s v="Marco"/>
    <s v="Rossi"/>
    <d v="1990-01-15T00:00:00"/>
    <s v="Palleggio"/>
    <s v="Fisico"/>
  </r>
  <r>
    <n v="48"/>
    <n v="1008"/>
    <n v="28"/>
    <s v="LMBLRN05L24F205K"/>
    <n v="0"/>
    <s v="Maurizio"/>
    <d v="2023-12-20T00:00:00"/>
    <x v="1"/>
    <n v="1"/>
    <x v="7"/>
    <x v="5"/>
    <s v="Under 18"/>
    <s v="Campionato Giovanile"/>
    <s v="Lorenzo"/>
    <s v="Lombardi"/>
    <d v="2005-07-24T00:00:00"/>
    <s v="Palleggio"/>
    <s v="Fisico"/>
  </r>
  <r>
    <n v="9"/>
    <n v="1009"/>
    <n v="9"/>
    <s v="MRCLNR04L58F205R"/>
    <n v="13"/>
    <s v="Federico"/>
    <d v="2023-11-22T00:00:00"/>
    <x v="0"/>
    <n v="3"/>
    <x v="8"/>
    <x v="6"/>
    <s v="Serie B"/>
    <s v="Champions League"/>
    <s v="Leonardo"/>
    <s v="Marchi"/>
    <d v="2004-07-18T00:00:00"/>
    <s v="Banda"/>
    <s v="Coordinativo"/>
  </r>
  <r>
    <n v="19"/>
    <n v="1009"/>
    <n v="19"/>
    <s v="VLLCLD09P26F205F"/>
    <n v="10"/>
    <s v="Giuseppe"/>
    <d v="2023-04-06T00:00:00"/>
    <x v="3"/>
    <n v="3"/>
    <x v="8"/>
    <x v="6"/>
    <s v="Serie B"/>
    <s v="Champions League"/>
    <s v="Claudia"/>
    <s v="Villa"/>
    <d v="2009-09-26T00:00:00"/>
    <s v="Libero"/>
    <s v="Tecnico"/>
  </r>
  <r>
    <n v="29"/>
    <n v="1009"/>
    <n v="29"/>
    <s v="MRTGRG95P26F205A"/>
    <n v="16"/>
    <s v="Ilenia"/>
    <d v="2023-12-16T00:00:00"/>
    <x v="3"/>
    <n v="3"/>
    <x v="8"/>
    <x v="6"/>
    <s v="Serie B"/>
    <s v="Champions League"/>
    <s v="Giorgia "/>
    <s v="Moretti"/>
    <d v="1995-09-26T00:00:00"/>
    <s v="Opposto"/>
    <s v="Mentale"/>
  </r>
  <r>
    <n v="38"/>
    <n v="1009"/>
    <n v="8"/>
    <s v="RSSGLI10A31F205G"/>
    <n v="10"/>
    <s v="Camelia"/>
    <d v="2023-10-26T00:00:00"/>
    <x v="1"/>
    <n v="0"/>
    <x v="8"/>
    <x v="6"/>
    <s v="Serie B"/>
    <s v="Champions League"/>
    <s v="Giulia"/>
    <s v="Russo"/>
    <d v="2010-01-31T00:00:00"/>
    <s v="Centrale"/>
    <s v="Tattico"/>
  </r>
  <r>
    <n v="49"/>
    <n v="1009"/>
    <n v="29"/>
    <s v="MRCLNR04L58F205R"/>
    <n v="5"/>
    <s v="Ilenia"/>
    <d v="2023-12-16T00:00:00"/>
    <x v="3"/>
    <n v="3"/>
    <x v="8"/>
    <x v="6"/>
    <s v="Serie B"/>
    <s v="Champions League"/>
    <s v="Leonardo"/>
    <s v="Marchi"/>
    <d v="2004-07-18T00:00:00"/>
    <s v="Banda"/>
    <s v="Coordinativo"/>
  </r>
  <r>
    <n v="10"/>
    <n v="1010"/>
    <n v="10"/>
    <s v="MRTGRG95P26F205A"/>
    <n v="4"/>
    <s v="Rosa"/>
    <d v="2023-11-09T00:00:00"/>
    <x v="2"/>
    <n v="3"/>
    <x v="9"/>
    <x v="7"/>
    <s v="Seconda Divisione"/>
    <s v="Campionato Amatoriale"/>
    <s v="Giorgia "/>
    <s v="Moretti"/>
    <d v="1995-09-26T00:00:00"/>
    <s v="Opposto"/>
    <s v="Mentale"/>
  </r>
  <r>
    <n v="20"/>
    <n v="1010"/>
    <n v="20"/>
    <s v="VRDLCA88L05Z404N"/>
    <n v="11"/>
    <s v="Barbara"/>
    <d v="2023-06-06T00:00:00"/>
    <x v="1"/>
    <n v="2"/>
    <x v="9"/>
    <x v="7"/>
    <s v="Seconda Divisione"/>
    <s v="Campionato Amatoriale"/>
    <s v="Luca"/>
    <s v="Verdi"/>
    <d v="1988-07-05T00:00:00"/>
    <s v="Centrale"/>
    <s v="Tattico"/>
  </r>
  <r>
    <n v="30"/>
    <n v="1010"/>
    <n v="30"/>
    <s v="NRIFPP92E03F205F"/>
    <n v="19"/>
    <s v="Daniela"/>
    <d v="2023-09-14T00:00:00"/>
    <x v="2"/>
    <n v="3"/>
    <x v="9"/>
    <x v="7"/>
    <s v="Seconda Divisione"/>
    <s v="Campionato Amatoriale"/>
    <s v="Filippo"/>
    <s v="Neri"/>
    <d v="1992-05-03T00:00:00"/>
    <s v="Banda"/>
    <s v="Coordinativo"/>
  </r>
  <r>
    <n v="39"/>
    <n v="1010"/>
    <n v="9"/>
    <s v="RMNFRN96C10F205I"/>
    <n v="17"/>
    <s v="Federico"/>
    <d v="2023-11-22T00:00:00"/>
    <x v="0"/>
    <n v="3"/>
    <x v="9"/>
    <x v="7"/>
    <s v="Seconda Divisione"/>
    <s v="Campionato Amatoriale"/>
    <s v="Francesco"/>
    <s v="Romano"/>
    <d v="1996-03-10T00:00:00"/>
    <s v="Palleggio"/>
    <s v="Fisico"/>
  </r>
  <r>
    <n v="50"/>
    <n v="1010"/>
    <n v="30"/>
    <s v="MRTGRG95P26F205A"/>
    <n v="9"/>
    <s v="Daniela"/>
    <d v="2023-09-14T00:00:00"/>
    <x v="2"/>
    <n v="3"/>
    <x v="9"/>
    <x v="7"/>
    <s v="Seconda Divisione"/>
    <s v="Campionato Amatoriale"/>
    <s v="Giorgia "/>
    <s v="Moretti"/>
    <d v="1995-09-26T00:00:00"/>
    <s v="Opposto"/>
    <s v="Mental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C1C0AB-EBD8-7344-B939-F84CBDDFE4E2}" name="Tabella pivot1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C18" firstHeaderRow="0" firstDataRow="1" firstDataCol="1"/>
  <pivotFields count="18">
    <pivotField showAll="0"/>
    <pivotField showAll="0"/>
    <pivotField showAll="0"/>
    <pivotField showAll="0"/>
    <pivotField showAll="0"/>
    <pivotField showAll="0"/>
    <pivotField numFmtId="14" showAll="0"/>
    <pivotField dataField="1" showAll="0"/>
    <pivotField dataField="1" showAll="0"/>
    <pivotField axis="axisRow" showAll="0">
      <items count="11">
        <item x="7"/>
        <item x="4"/>
        <item x="1"/>
        <item x="0"/>
        <item x="5"/>
        <item x="2"/>
        <item x="8"/>
        <item x="3"/>
        <item x="6"/>
        <item x="9"/>
        <item t="default"/>
      </items>
    </pivotField>
    <pivotField axis="axisRow" multipleItemSelectionAllowed="1" showAll="0">
      <items count="9">
        <item x="2"/>
        <item x="0"/>
        <item x="6"/>
        <item x="4"/>
        <item x="7"/>
        <item x="3"/>
        <item x="5"/>
        <item x="1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</pivotFields>
  <rowFields count="2">
    <field x="9"/>
    <field x="10"/>
  </rowFields>
  <rowItems count="15">
    <i>
      <x/>
    </i>
    <i r="1">
      <x v="6"/>
    </i>
    <i>
      <x v="2"/>
    </i>
    <i r="1">
      <x v="7"/>
    </i>
    <i>
      <x v="4"/>
    </i>
    <i r="1">
      <x v="5"/>
    </i>
    <i>
      <x v="5"/>
    </i>
    <i r="1">
      <x v="7"/>
    </i>
    <i>
      <x v="6"/>
    </i>
    <i r="1">
      <x v="2"/>
    </i>
    <i>
      <x v="8"/>
    </i>
    <i r="1">
      <x v="3"/>
    </i>
    <i>
      <x v="9"/>
    </i>
    <i r="1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omma di SET_VINTI_CASA" fld="7" baseField="0" baseItem="0"/>
    <dataField name="Somma di SET_VINTI_OSPITE" fld="8" baseField="0" baseItem="0"/>
  </dataFields>
  <pivotTableStyleInfo name="PivotStyleLight16" showRowHeaders="1" showColHeaders="1" showRowStripes="0" showColStripes="0" showLastColumn="1"/>
  <filters count="2">
    <filter fld="10" type="captionGreaterThan" evalOrder="-1" id="9" stringValue1="1980">
      <autoFilter ref="A1">
        <filterColumn colId="0">
          <customFilters>
            <customFilter operator="greaterThan" val="1980"/>
          </customFilters>
        </filterColumn>
      </autoFilter>
    </filter>
    <filter fld="9" type="captionGreaterThan" evalOrder="-1" id="2" stringValue1="2000">
      <autoFilter ref="A1">
        <filterColumn colId="0">
          <customFilters>
            <customFilter operator="greaterThan" val="200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CFA17F-F467-F448-8FDF-5A76BC0EAA6B}" name="Tabella pivot3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C5" firstHeaderRow="0" firstDataRow="1" firstDataCol="1" rowPageCount="1" colPageCount="1"/>
  <pivotFields count="18">
    <pivotField showAll="0"/>
    <pivotField showAll="0"/>
    <pivotField showAll="0"/>
    <pivotField showAll="0"/>
    <pivotField showAll="0"/>
    <pivotField showAll="0"/>
    <pivotField numFmtId="14" showAll="0"/>
    <pivotField dataField="1" showAll="0">
      <items count="5">
        <item x="0"/>
        <item x="3"/>
        <item x="2"/>
        <item x="1"/>
        <item t="default"/>
      </items>
    </pivotField>
    <pivotField dataField="1" showAll="0"/>
    <pivotField axis="axisRow" showAll="0">
      <items count="11">
        <item x="7"/>
        <item x="4"/>
        <item x="1"/>
        <item x="0"/>
        <item x="5"/>
        <item x="2"/>
        <item x="8"/>
        <item x="3"/>
        <item x="6"/>
        <item x="9"/>
        <item t="default"/>
      </items>
    </pivotField>
    <pivotField axis="axisPage" multipleItemSelectionAllowed="1" showAll="0">
      <items count="9">
        <item h="1" x="2"/>
        <item h="1" x="0"/>
        <item h="1" x="6"/>
        <item h="1" x="4"/>
        <item x="7"/>
        <item h="1" x="3"/>
        <item h="1" x="5"/>
        <item h="1" x="1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</pivotFields>
  <rowFields count="1">
    <field x="9"/>
  </rowFields>
  <rowItems count="2"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0" hier="-1"/>
  </pageFields>
  <dataFields count="2">
    <dataField name="Somma di SET_VINTI_CASA" fld="7" baseField="0" baseItem="0"/>
    <dataField name="Somma di SET_VINTI_OSPITE" fld="8" baseField="0" baseItem="0"/>
  </dataFields>
  <pivotTableStyleInfo name="PivotStyleLight16" showRowHeaders="1" showColHeaders="1" showRowStripes="0" showColStripes="0" showLastColumn="1"/>
  <filters count="1">
    <filter fld="7" type="captionGreaterThan" evalOrder="-1" id="1" stringValue1="1">
      <autoFilter ref="A1">
        <filterColumn colId="0">
          <customFilters>
            <customFilter operator="greaterThan" val="1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sg" connectionId="1" xr16:uid="{8611EA23-1D34-AE49-A43E-B61564330EEF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13E75-B32F-994E-B23A-D773E92FC9FB}">
  <dimension ref="A1:C18"/>
  <sheetViews>
    <sheetView workbookViewId="0">
      <selection activeCell="C2" sqref="C2"/>
    </sheetView>
  </sheetViews>
  <sheetFormatPr baseColWidth="10" defaultRowHeight="16" x14ac:dyDescent="0.2"/>
  <cols>
    <col min="1" max="1" width="19.33203125" bestFit="1" customWidth="1"/>
    <col min="2" max="2" width="23.5" bestFit="1" customWidth="1"/>
    <col min="3" max="3" width="24.6640625" bestFit="1" customWidth="1"/>
  </cols>
  <sheetData>
    <row r="1" spans="1:3" x14ac:dyDescent="0.2">
      <c r="A1" t="s">
        <v>140</v>
      </c>
    </row>
    <row r="3" spans="1:3" x14ac:dyDescent="0.2">
      <c r="A3" s="2" t="s">
        <v>137</v>
      </c>
      <c r="B3" t="s">
        <v>136</v>
      </c>
      <c r="C3" t="s">
        <v>139</v>
      </c>
    </row>
    <row r="4" spans="1:3" x14ac:dyDescent="0.2">
      <c r="A4" s="3" t="s">
        <v>119</v>
      </c>
      <c r="B4">
        <v>12</v>
      </c>
      <c r="C4">
        <v>6</v>
      </c>
    </row>
    <row r="5" spans="1:3" x14ac:dyDescent="0.2">
      <c r="A5" s="4">
        <v>2003</v>
      </c>
      <c r="B5">
        <v>12</v>
      </c>
      <c r="C5">
        <v>6</v>
      </c>
    </row>
    <row r="6" spans="1:3" x14ac:dyDescent="0.2">
      <c r="A6" s="3" t="s">
        <v>45</v>
      </c>
      <c r="B6">
        <v>8</v>
      </c>
      <c r="C6">
        <v>11</v>
      </c>
    </row>
    <row r="7" spans="1:3" x14ac:dyDescent="0.2">
      <c r="A7" s="4">
        <v>2004</v>
      </c>
      <c r="B7">
        <v>8</v>
      </c>
      <c r="C7">
        <v>11</v>
      </c>
    </row>
    <row r="8" spans="1:3" x14ac:dyDescent="0.2">
      <c r="A8" s="3" t="s">
        <v>100</v>
      </c>
      <c r="B8">
        <v>12</v>
      </c>
      <c r="C8">
        <v>6</v>
      </c>
    </row>
    <row r="9" spans="1:3" x14ac:dyDescent="0.2">
      <c r="A9" s="4">
        <v>2001</v>
      </c>
      <c r="B9">
        <v>12</v>
      </c>
      <c r="C9">
        <v>6</v>
      </c>
    </row>
    <row r="10" spans="1:3" x14ac:dyDescent="0.2">
      <c r="A10" s="3" t="s">
        <v>59</v>
      </c>
      <c r="B10">
        <v>15</v>
      </c>
      <c r="C10">
        <v>5</v>
      </c>
    </row>
    <row r="11" spans="1:3" x14ac:dyDescent="0.2">
      <c r="A11" s="4">
        <v>2004</v>
      </c>
      <c r="B11">
        <v>15</v>
      </c>
      <c r="C11">
        <v>5</v>
      </c>
    </row>
    <row r="12" spans="1:3" x14ac:dyDescent="0.2">
      <c r="A12" s="3" t="s">
        <v>126</v>
      </c>
      <c r="B12">
        <v>6</v>
      </c>
      <c r="C12">
        <v>12</v>
      </c>
    </row>
    <row r="13" spans="1:3" x14ac:dyDescent="0.2">
      <c r="A13" s="4">
        <v>1986</v>
      </c>
      <c r="B13">
        <v>6</v>
      </c>
      <c r="C13">
        <v>12</v>
      </c>
    </row>
    <row r="14" spans="1:3" x14ac:dyDescent="0.2">
      <c r="A14" s="3" t="s">
        <v>111</v>
      </c>
      <c r="B14">
        <v>12</v>
      </c>
      <c r="C14">
        <v>7</v>
      </c>
    </row>
    <row r="15" spans="1:3" x14ac:dyDescent="0.2">
      <c r="A15" s="4">
        <v>1990</v>
      </c>
      <c r="B15">
        <v>12</v>
      </c>
      <c r="C15">
        <v>7</v>
      </c>
    </row>
    <row r="16" spans="1:3" x14ac:dyDescent="0.2">
      <c r="A16" s="3" t="s">
        <v>133</v>
      </c>
      <c r="B16">
        <v>9</v>
      </c>
      <c r="C16">
        <v>14</v>
      </c>
    </row>
    <row r="17" spans="1:3" x14ac:dyDescent="0.2">
      <c r="A17" s="4">
        <v>2000</v>
      </c>
      <c r="B17">
        <v>9</v>
      </c>
      <c r="C17">
        <v>14</v>
      </c>
    </row>
    <row r="18" spans="1:3" x14ac:dyDescent="0.2">
      <c r="A18" s="3" t="s">
        <v>138</v>
      </c>
      <c r="B18">
        <v>74</v>
      </c>
      <c r="C18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1294F-377D-F743-B09B-6F4B696D7AF1}">
  <dimension ref="A1:D5"/>
  <sheetViews>
    <sheetView tabSelected="1" workbookViewId="0">
      <selection activeCell="G14" sqref="G14"/>
    </sheetView>
  </sheetViews>
  <sheetFormatPr baseColWidth="10" defaultRowHeight="16" x14ac:dyDescent="0.2"/>
  <cols>
    <col min="1" max="1" width="18.33203125" bestFit="1" customWidth="1"/>
    <col min="2" max="2" width="23.5" bestFit="1" customWidth="1"/>
    <col min="3" max="3" width="24.6640625" bestFit="1" customWidth="1"/>
  </cols>
  <sheetData>
    <row r="1" spans="1:4" x14ac:dyDescent="0.2">
      <c r="A1" s="2" t="s">
        <v>10</v>
      </c>
      <c r="B1" s="3">
        <v>2000</v>
      </c>
      <c r="D1" t="s">
        <v>141</v>
      </c>
    </row>
    <row r="3" spans="1:4" x14ac:dyDescent="0.2">
      <c r="A3" s="2" t="s">
        <v>137</v>
      </c>
      <c r="B3" t="s">
        <v>136</v>
      </c>
      <c r="C3" t="s">
        <v>139</v>
      </c>
    </row>
    <row r="4" spans="1:4" x14ac:dyDescent="0.2">
      <c r="A4" s="3" t="s">
        <v>133</v>
      </c>
      <c r="B4">
        <v>9</v>
      </c>
      <c r="C4">
        <v>14</v>
      </c>
    </row>
    <row r="5" spans="1:4" x14ac:dyDescent="0.2">
      <c r="A5" s="3" t="s">
        <v>138</v>
      </c>
      <c r="B5">
        <v>9</v>
      </c>
      <c r="C5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ABD94-C5A2-DD43-A4AF-DDD0A0056542}">
  <dimension ref="A1:R51"/>
  <sheetViews>
    <sheetView zoomScale="87" workbookViewId="0">
      <selection activeCell="L25" sqref="L25"/>
    </sheetView>
  </sheetViews>
  <sheetFormatPr baseColWidth="10" defaultRowHeight="16" x14ac:dyDescent="0.2"/>
  <cols>
    <col min="1" max="1" width="16.83203125" bestFit="1" customWidth="1"/>
    <col min="2" max="2" width="11.83203125" bestFit="1" customWidth="1"/>
    <col min="3" max="3" width="10.1640625" bestFit="1" customWidth="1"/>
    <col min="4" max="4" width="19" bestFit="1" customWidth="1"/>
    <col min="5" max="5" width="19.5" bestFit="1" customWidth="1"/>
    <col min="6" max="6" width="14.33203125" bestFit="1" customWidth="1"/>
    <col min="7" max="7" width="12.5" bestFit="1" customWidth="1"/>
    <col min="8" max="8" width="14.1640625" bestFit="1" customWidth="1"/>
    <col min="9" max="9" width="15.5" bestFit="1" customWidth="1"/>
    <col min="10" max="10" width="19.33203125" bestFit="1" customWidth="1"/>
    <col min="11" max="11" width="18.33203125" bestFit="1" customWidth="1"/>
    <col min="12" max="12" width="16" bestFit="1" customWidth="1"/>
    <col min="13" max="13" width="33.5" bestFit="1" customWidth="1"/>
    <col min="14" max="14" width="17.1640625" bestFit="1" customWidth="1"/>
    <col min="15" max="15" width="21.1640625" bestFit="1" customWidth="1"/>
    <col min="16" max="16" width="13.1640625" bestFit="1" customWidth="1"/>
    <col min="17" max="17" width="13" bestFit="1" customWidth="1"/>
    <col min="18" max="18" width="17.83203125" bestFit="1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>
        <v>1</v>
      </c>
      <c r="B2">
        <v>1001</v>
      </c>
      <c r="C2">
        <v>1</v>
      </c>
      <c r="D2" t="s">
        <v>18</v>
      </c>
      <c r="E2">
        <v>12</v>
      </c>
      <c r="F2" t="s">
        <v>19</v>
      </c>
      <c r="G2" s="1">
        <v>44957</v>
      </c>
      <c r="H2">
        <v>0</v>
      </c>
      <c r="I2">
        <v>3</v>
      </c>
      <c r="J2" t="s">
        <v>20</v>
      </c>
      <c r="K2">
        <v>1947</v>
      </c>
      <c r="L2" t="s">
        <v>21</v>
      </c>
      <c r="M2" t="s">
        <v>22</v>
      </c>
      <c r="N2" t="s">
        <v>23</v>
      </c>
      <c r="O2" t="s">
        <v>24</v>
      </c>
      <c r="P2" s="1">
        <v>34780</v>
      </c>
      <c r="Q2" t="s">
        <v>25</v>
      </c>
      <c r="R2" t="s">
        <v>26</v>
      </c>
    </row>
    <row r="3" spans="1:18" x14ac:dyDescent="0.2">
      <c r="A3">
        <v>11</v>
      </c>
      <c r="B3">
        <v>1001</v>
      </c>
      <c r="C3">
        <v>11</v>
      </c>
      <c r="D3" t="s">
        <v>27</v>
      </c>
      <c r="E3">
        <v>2</v>
      </c>
      <c r="F3" t="s">
        <v>28</v>
      </c>
      <c r="G3" s="1">
        <v>44950</v>
      </c>
      <c r="H3">
        <v>3</v>
      </c>
      <c r="I3">
        <v>1</v>
      </c>
      <c r="J3" t="s">
        <v>20</v>
      </c>
      <c r="K3">
        <v>1947</v>
      </c>
      <c r="L3" t="s">
        <v>21</v>
      </c>
      <c r="M3" t="s">
        <v>22</v>
      </c>
      <c r="N3" t="s">
        <v>29</v>
      </c>
      <c r="O3" t="s">
        <v>30</v>
      </c>
      <c r="P3" s="1">
        <v>33727</v>
      </c>
      <c r="Q3" t="s">
        <v>31</v>
      </c>
      <c r="R3" t="s">
        <v>32</v>
      </c>
    </row>
    <row r="4" spans="1:18" x14ac:dyDescent="0.2">
      <c r="A4">
        <v>21</v>
      </c>
      <c r="B4">
        <v>1001</v>
      </c>
      <c r="C4">
        <v>21</v>
      </c>
      <c r="D4" t="s">
        <v>33</v>
      </c>
      <c r="E4">
        <v>7</v>
      </c>
      <c r="F4" t="s">
        <v>34</v>
      </c>
      <c r="G4" s="1">
        <v>45096</v>
      </c>
      <c r="H4">
        <v>0</v>
      </c>
      <c r="I4">
        <v>3</v>
      </c>
      <c r="J4" t="s">
        <v>20</v>
      </c>
      <c r="K4">
        <v>1947</v>
      </c>
      <c r="L4" t="s">
        <v>21</v>
      </c>
      <c r="M4" t="s">
        <v>22</v>
      </c>
      <c r="N4" t="s">
        <v>35</v>
      </c>
      <c r="O4" t="s">
        <v>36</v>
      </c>
      <c r="P4" s="1">
        <v>39361</v>
      </c>
      <c r="Q4" t="s">
        <v>25</v>
      </c>
      <c r="R4" t="s">
        <v>26</v>
      </c>
    </row>
    <row r="5" spans="1:18" x14ac:dyDescent="0.2">
      <c r="A5">
        <v>40</v>
      </c>
      <c r="B5">
        <v>1001</v>
      </c>
      <c r="C5">
        <v>10</v>
      </c>
      <c r="D5" t="s">
        <v>37</v>
      </c>
      <c r="E5">
        <v>15</v>
      </c>
      <c r="F5" t="s">
        <v>38</v>
      </c>
      <c r="G5" s="1">
        <v>45239</v>
      </c>
      <c r="H5">
        <v>2</v>
      </c>
      <c r="I5">
        <v>3</v>
      </c>
      <c r="J5" t="s">
        <v>20</v>
      </c>
      <c r="K5">
        <v>1947</v>
      </c>
      <c r="L5" t="s">
        <v>21</v>
      </c>
      <c r="M5" t="s">
        <v>22</v>
      </c>
      <c r="N5" t="s">
        <v>39</v>
      </c>
      <c r="O5" t="s">
        <v>40</v>
      </c>
      <c r="P5" s="1">
        <v>37216</v>
      </c>
      <c r="Q5" t="s">
        <v>41</v>
      </c>
      <c r="R5" t="s">
        <v>42</v>
      </c>
    </row>
    <row r="6" spans="1:18" x14ac:dyDescent="0.2">
      <c r="A6">
        <v>41</v>
      </c>
      <c r="B6">
        <v>1001</v>
      </c>
      <c r="C6">
        <v>20</v>
      </c>
      <c r="D6" t="s">
        <v>18</v>
      </c>
      <c r="E6">
        <v>23</v>
      </c>
      <c r="F6" t="s">
        <v>43</v>
      </c>
      <c r="G6" s="1">
        <v>45083</v>
      </c>
      <c r="H6">
        <v>3</v>
      </c>
      <c r="I6">
        <v>2</v>
      </c>
      <c r="J6" t="s">
        <v>20</v>
      </c>
      <c r="K6">
        <v>1947</v>
      </c>
      <c r="L6" t="s">
        <v>21</v>
      </c>
      <c r="M6" t="s">
        <v>22</v>
      </c>
      <c r="N6" t="s">
        <v>23</v>
      </c>
      <c r="O6" t="s">
        <v>24</v>
      </c>
      <c r="P6" s="1">
        <v>34780</v>
      </c>
      <c r="Q6" t="s">
        <v>25</v>
      </c>
      <c r="R6" t="s">
        <v>26</v>
      </c>
    </row>
    <row r="7" spans="1:18" x14ac:dyDescent="0.2">
      <c r="A7">
        <v>2</v>
      </c>
      <c r="B7">
        <v>1002</v>
      </c>
      <c r="C7">
        <v>2</v>
      </c>
      <c r="D7" t="s">
        <v>33</v>
      </c>
      <c r="E7">
        <v>21</v>
      </c>
      <c r="F7" t="s">
        <v>44</v>
      </c>
      <c r="G7" s="1">
        <v>44965</v>
      </c>
      <c r="H7">
        <v>3</v>
      </c>
      <c r="I7">
        <v>2</v>
      </c>
      <c r="J7" t="s">
        <v>45</v>
      </c>
      <c r="K7">
        <v>2004</v>
      </c>
      <c r="L7" t="s">
        <v>46</v>
      </c>
      <c r="M7" t="s">
        <v>47</v>
      </c>
      <c r="N7" t="s">
        <v>35</v>
      </c>
      <c r="O7" t="s">
        <v>36</v>
      </c>
      <c r="P7" s="1">
        <v>39361</v>
      </c>
      <c r="Q7" t="s">
        <v>25</v>
      </c>
      <c r="R7" t="s">
        <v>26</v>
      </c>
    </row>
    <row r="8" spans="1:18" x14ac:dyDescent="0.2">
      <c r="A8">
        <v>12</v>
      </c>
      <c r="B8">
        <v>1002</v>
      </c>
      <c r="C8">
        <v>12</v>
      </c>
      <c r="D8" t="s">
        <v>48</v>
      </c>
      <c r="E8">
        <v>26</v>
      </c>
      <c r="F8" t="s">
        <v>49</v>
      </c>
      <c r="G8" s="1">
        <v>45005</v>
      </c>
      <c r="H8">
        <v>2</v>
      </c>
      <c r="I8">
        <v>3</v>
      </c>
      <c r="J8" t="s">
        <v>45</v>
      </c>
      <c r="K8">
        <v>2004</v>
      </c>
      <c r="L8" t="s">
        <v>46</v>
      </c>
      <c r="M8" t="s">
        <v>47</v>
      </c>
      <c r="N8" t="s">
        <v>50</v>
      </c>
      <c r="O8" t="s">
        <v>51</v>
      </c>
      <c r="P8" s="1">
        <v>36362</v>
      </c>
      <c r="Q8" t="s">
        <v>52</v>
      </c>
      <c r="R8" t="s">
        <v>53</v>
      </c>
    </row>
    <row r="9" spans="1:18" x14ac:dyDescent="0.2">
      <c r="A9">
        <v>22</v>
      </c>
      <c r="B9">
        <v>1002</v>
      </c>
      <c r="C9">
        <v>22</v>
      </c>
      <c r="D9" t="s">
        <v>54</v>
      </c>
      <c r="E9">
        <v>3</v>
      </c>
      <c r="F9" t="s">
        <v>55</v>
      </c>
      <c r="G9" s="1">
        <v>45194</v>
      </c>
      <c r="H9">
        <v>3</v>
      </c>
      <c r="I9">
        <v>0</v>
      </c>
      <c r="J9" t="s">
        <v>45</v>
      </c>
      <c r="K9">
        <v>2004</v>
      </c>
      <c r="L9" t="s">
        <v>46</v>
      </c>
      <c r="M9" t="s">
        <v>47</v>
      </c>
      <c r="N9" t="s">
        <v>56</v>
      </c>
      <c r="O9" t="s">
        <v>57</v>
      </c>
      <c r="P9" s="1">
        <v>39359</v>
      </c>
      <c r="Q9" t="s">
        <v>31</v>
      </c>
      <c r="R9" t="s">
        <v>32</v>
      </c>
    </row>
    <row r="10" spans="1:18" x14ac:dyDescent="0.2">
      <c r="A10">
        <v>31</v>
      </c>
      <c r="B10">
        <v>1002</v>
      </c>
      <c r="C10">
        <v>1</v>
      </c>
      <c r="D10" t="s">
        <v>18</v>
      </c>
      <c r="E10">
        <v>0</v>
      </c>
      <c r="F10" t="s">
        <v>19</v>
      </c>
      <c r="G10" s="1">
        <v>44957</v>
      </c>
      <c r="H10">
        <v>0</v>
      </c>
      <c r="I10">
        <v>3</v>
      </c>
      <c r="J10" t="s">
        <v>45</v>
      </c>
      <c r="K10">
        <v>2004</v>
      </c>
      <c r="L10" t="s">
        <v>46</v>
      </c>
      <c r="M10" t="s">
        <v>47</v>
      </c>
      <c r="N10" t="s">
        <v>23</v>
      </c>
      <c r="O10" t="s">
        <v>24</v>
      </c>
      <c r="P10" s="1">
        <v>34780</v>
      </c>
      <c r="Q10" t="s">
        <v>25</v>
      </c>
      <c r="R10" t="s">
        <v>26</v>
      </c>
    </row>
    <row r="11" spans="1:18" x14ac:dyDescent="0.2">
      <c r="A11">
        <v>42</v>
      </c>
      <c r="B11">
        <v>1002</v>
      </c>
      <c r="C11">
        <v>21</v>
      </c>
      <c r="D11" t="s">
        <v>33</v>
      </c>
      <c r="E11">
        <v>12</v>
      </c>
      <c r="F11" t="s">
        <v>34</v>
      </c>
      <c r="G11" s="1">
        <v>45096</v>
      </c>
      <c r="H11">
        <v>0</v>
      </c>
      <c r="I11">
        <v>3</v>
      </c>
      <c r="J11" t="s">
        <v>45</v>
      </c>
      <c r="K11">
        <v>2004</v>
      </c>
      <c r="L11" t="s">
        <v>46</v>
      </c>
      <c r="M11" t="s">
        <v>47</v>
      </c>
      <c r="N11" t="s">
        <v>35</v>
      </c>
      <c r="O11" t="s">
        <v>36</v>
      </c>
      <c r="P11" s="1">
        <v>39361</v>
      </c>
      <c r="Q11" t="s">
        <v>25</v>
      </c>
      <c r="R11" t="s">
        <v>26</v>
      </c>
    </row>
    <row r="12" spans="1:18" x14ac:dyDescent="0.2">
      <c r="A12">
        <v>3</v>
      </c>
      <c r="B12">
        <v>1003</v>
      </c>
      <c r="C12">
        <v>3</v>
      </c>
      <c r="D12" t="s">
        <v>54</v>
      </c>
      <c r="E12">
        <v>15</v>
      </c>
      <c r="F12" t="s">
        <v>58</v>
      </c>
      <c r="G12" s="1">
        <v>44997</v>
      </c>
      <c r="H12">
        <v>3</v>
      </c>
      <c r="I12">
        <v>1</v>
      </c>
      <c r="J12" t="s">
        <v>59</v>
      </c>
      <c r="K12">
        <v>2004</v>
      </c>
      <c r="L12" t="s">
        <v>60</v>
      </c>
      <c r="M12" t="s">
        <v>22</v>
      </c>
      <c r="N12" t="s">
        <v>56</v>
      </c>
      <c r="O12" t="s">
        <v>57</v>
      </c>
      <c r="P12" s="1">
        <v>39359</v>
      </c>
      <c r="Q12" t="s">
        <v>31</v>
      </c>
      <c r="R12" t="s">
        <v>32</v>
      </c>
    </row>
    <row r="13" spans="1:18" x14ac:dyDescent="0.2">
      <c r="A13">
        <v>13</v>
      </c>
      <c r="B13">
        <v>1003</v>
      </c>
      <c r="C13">
        <v>13</v>
      </c>
      <c r="D13" t="s">
        <v>61</v>
      </c>
      <c r="E13">
        <v>22</v>
      </c>
      <c r="F13" t="s">
        <v>62</v>
      </c>
      <c r="G13" s="1">
        <v>45022</v>
      </c>
      <c r="H13">
        <v>3</v>
      </c>
      <c r="I13">
        <v>0</v>
      </c>
      <c r="J13" t="s">
        <v>59</v>
      </c>
      <c r="K13">
        <v>2004</v>
      </c>
      <c r="L13" t="s">
        <v>60</v>
      </c>
      <c r="M13" t="s">
        <v>22</v>
      </c>
      <c r="N13" t="s">
        <v>63</v>
      </c>
      <c r="O13" t="s">
        <v>64</v>
      </c>
      <c r="P13" s="1">
        <v>35134</v>
      </c>
      <c r="Q13" t="s">
        <v>65</v>
      </c>
      <c r="R13" t="s">
        <v>66</v>
      </c>
    </row>
    <row r="14" spans="1:18" x14ac:dyDescent="0.2">
      <c r="A14">
        <v>23</v>
      </c>
      <c r="B14">
        <v>1003</v>
      </c>
      <c r="C14">
        <v>23</v>
      </c>
      <c r="D14" t="s">
        <v>67</v>
      </c>
      <c r="E14">
        <v>13</v>
      </c>
      <c r="F14" t="s">
        <v>68</v>
      </c>
      <c r="G14" s="1">
        <v>45219</v>
      </c>
      <c r="H14">
        <v>3</v>
      </c>
      <c r="I14">
        <v>1</v>
      </c>
      <c r="J14" t="s">
        <v>59</v>
      </c>
      <c r="K14">
        <v>2004</v>
      </c>
      <c r="L14" t="s">
        <v>60</v>
      </c>
      <c r="M14" t="s">
        <v>22</v>
      </c>
      <c r="N14" t="s">
        <v>39</v>
      </c>
      <c r="O14" t="s">
        <v>69</v>
      </c>
      <c r="P14" s="1">
        <v>37381</v>
      </c>
      <c r="Q14" t="s">
        <v>41</v>
      </c>
      <c r="R14" t="s">
        <v>42</v>
      </c>
    </row>
    <row r="15" spans="1:18" x14ac:dyDescent="0.2">
      <c r="A15">
        <v>32</v>
      </c>
      <c r="B15">
        <v>1003</v>
      </c>
      <c r="C15">
        <v>2</v>
      </c>
      <c r="D15" t="s">
        <v>70</v>
      </c>
      <c r="E15">
        <v>24</v>
      </c>
      <c r="F15" t="s">
        <v>44</v>
      </c>
      <c r="G15" s="1">
        <v>44965</v>
      </c>
      <c r="H15">
        <v>3</v>
      </c>
      <c r="I15">
        <v>2</v>
      </c>
      <c r="J15" t="s">
        <v>59</v>
      </c>
      <c r="K15">
        <v>2004</v>
      </c>
      <c r="L15" t="s">
        <v>60</v>
      </c>
      <c r="M15" t="s">
        <v>22</v>
      </c>
      <c r="N15" t="s">
        <v>71</v>
      </c>
      <c r="O15" t="s">
        <v>72</v>
      </c>
      <c r="P15" s="1">
        <v>32329</v>
      </c>
      <c r="Q15" t="s">
        <v>52</v>
      </c>
      <c r="R15" t="s">
        <v>53</v>
      </c>
    </row>
    <row r="16" spans="1:18" x14ac:dyDescent="0.2">
      <c r="A16">
        <v>43</v>
      </c>
      <c r="B16">
        <v>1003</v>
      </c>
      <c r="C16">
        <v>23</v>
      </c>
      <c r="D16" t="s">
        <v>54</v>
      </c>
      <c r="E16">
        <v>16</v>
      </c>
      <c r="F16" t="s">
        <v>68</v>
      </c>
      <c r="G16" s="1">
        <v>45219</v>
      </c>
      <c r="H16">
        <v>3</v>
      </c>
      <c r="I16">
        <v>1</v>
      </c>
      <c r="J16" t="s">
        <v>59</v>
      </c>
      <c r="K16">
        <v>2004</v>
      </c>
      <c r="L16" t="s">
        <v>60</v>
      </c>
      <c r="M16" t="s">
        <v>22</v>
      </c>
      <c r="N16" t="s">
        <v>56</v>
      </c>
      <c r="O16" t="s">
        <v>57</v>
      </c>
      <c r="P16" s="1">
        <v>39359</v>
      </c>
      <c r="Q16" t="s">
        <v>31</v>
      </c>
      <c r="R16" t="s">
        <v>32</v>
      </c>
    </row>
    <row r="17" spans="1:18" x14ac:dyDescent="0.2">
      <c r="A17">
        <v>4</v>
      </c>
      <c r="B17">
        <v>1004</v>
      </c>
      <c r="C17">
        <v>4</v>
      </c>
      <c r="D17" t="s">
        <v>67</v>
      </c>
      <c r="E17">
        <v>9</v>
      </c>
      <c r="F17" t="s">
        <v>73</v>
      </c>
      <c r="G17" s="1">
        <v>45042</v>
      </c>
      <c r="H17">
        <v>0</v>
      </c>
      <c r="I17">
        <v>3</v>
      </c>
      <c r="J17" t="s">
        <v>74</v>
      </c>
      <c r="K17">
        <v>1947</v>
      </c>
      <c r="L17" t="s">
        <v>75</v>
      </c>
      <c r="M17" t="s">
        <v>76</v>
      </c>
      <c r="N17" t="s">
        <v>39</v>
      </c>
      <c r="O17" t="s">
        <v>69</v>
      </c>
      <c r="P17" s="1">
        <v>37381</v>
      </c>
      <c r="Q17" t="s">
        <v>41</v>
      </c>
      <c r="R17" t="s">
        <v>42</v>
      </c>
    </row>
    <row r="18" spans="1:18" x14ac:dyDescent="0.2">
      <c r="A18">
        <v>14</v>
      </c>
      <c r="B18">
        <v>1004</v>
      </c>
      <c r="C18">
        <v>14</v>
      </c>
      <c r="D18" t="s">
        <v>77</v>
      </c>
      <c r="E18">
        <v>18</v>
      </c>
      <c r="F18" t="s">
        <v>78</v>
      </c>
      <c r="G18" s="1">
        <v>45198</v>
      </c>
      <c r="H18">
        <v>1</v>
      </c>
      <c r="I18">
        <v>3</v>
      </c>
      <c r="J18" t="s">
        <v>74</v>
      </c>
      <c r="K18">
        <v>1947</v>
      </c>
      <c r="L18" t="s">
        <v>75</v>
      </c>
      <c r="M18" t="s">
        <v>76</v>
      </c>
      <c r="N18" t="s">
        <v>23</v>
      </c>
      <c r="O18" t="s">
        <v>79</v>
      </c>
      <c r="P18" s="1">
        <v>40209</v>
      </c>
      <c r="Q18" t="s">
        <v>52</v>
      </c>
      <c r="R18" t="s">
        <v>53</v>
      </c>
    </row>
    <row r="19" spans="1:18" x14ac:dyDescent="0.2">
      <c r="A19">
        <v>24</v>
      </c>
      <c r="B19">
        <v>1004</v>
      </c>
      <c r="C19">
        <v>24</v>
      </c>
      <c r="D19" t="s">
        <v>80</v>
      </c>
      <c r="E19">
        <v>12</v>
      </c>
      <c r="F19" t="s">
        <v>81</v>
      </c>
      <c r="G19" s="1">
        <v>45229</v>
      </c>
      <c r="H19">
        <v>3</v>
      </c>
      <c r="I19">
        <v>2</v>
      </c>
      <c r="J19" t="s">
        <v>74</v>
      </c>
      <c r="K19">
        <v>1947</v>
      </c>
      <c r="L19" t="s">
        <v>75</v>
      </c>
      <c r="M19" t="s">
        <v>76</v>
      </c>
      <c r="N19" t="s">
        <v>82</v>
      </c>
      <c r="O19" t="s">
        <v>83</v>
      </c>
      <c r="P19" s="1">
        <v>32080</v>
      </c>
      <c r="Q19" t="s">
        <v>41</v>
      </c>
      <c r="R19" t="s">
        <v>42</v>
      </c>
    </row>
    <row r="20" spans="1:18" x14ac:dyDescent="0.2">
      <c r="A20">
        <v>33</v>
      </c>
      <c r="B20">
        <v>1004</v>
      </c>
      <c r="C20">
        <v>3</v>
      </c>
      <c r="D20" t="s">
        <v>84</v>
      </c>
      <c r="E20">
        <v>27</v>
      </c>
      <c r="F20" t="s">
        <v>58</v>
      </c>
      <c r="G20" s="1">
        <v>44997</v>
      </c>
      <c r="H20">
        <v>3</v>
      </c>
      <c r="I20">
        <v>1</v>
      </c>
      <c r="J20" t="s">
        <v>74</v>
      </c>
      <c r="K20">
        <v>1947</v>
      </c>
      <c r="L20" t="s">
        <v>75</v>
      </c>
      <c r="M20" t="s">
        <v>76</v>
      </c>
      <c r="N20" t="s">
        <v>85</v>
      </c>
      <c r="O20" t="s">
        <v>86</v>
      </c>
      <c r="P20" s="1">
        <v>40082</v>
      </c>
      <c r="Q20" t="s">
        <v>25</v>
      </c>
      <c r="R20" t="s">
        <v>26</v>
      </c>
    </row>
    <row r="21" spans="1:18" x14ac:dyDescent="0.2">
      <c r="A21">
        <v>44</v>
      </c>
      <c r="B21">
        <v>1004</v>
      </c>
      <c r="C21">
        <v>24</v>
      </c>
      <c r="D21" t="s">
        <v>67</v>
      </c>
      <c r="E21">
        <v>18</v>
      </c>
      <c r="F21" t="s">
        <v>81</v>
      </c>
      <c r="G21" s="1">
        <v>45229</v>
      </c>
      <c r="H21">
        <v>3</v>
      </c>
      <c r="I21">
        <v>2</v>
      </c>
      <c r="J21" t="s">
        <v>74</v>
      </c>
      <c r="K21">
        <v>1947</v>
      </c>
      <c r="L21" t="s">
        <v>75</v>
      </c>
      <c r="M21" t="s">
        <v>76</v>
      </c>
      <c r="N21" t="s">
        <v>39</v>
      </c>
      <c r="O21" t="s">
        <v>69</v>
      </c>
      <c r="P21" s="1">
        <v>37381</v>
      </c>
      <c r="Q21" t="s">
        <v>41</v>
      </c>
      <c r="R21" t="s">
        <v>42</v>
      </c>
    </row>
    <row r="22" spans="1:18" x14ac:dyDescent="0.2">
      <c r="A22">
        <v>5</v>
      </c>
      <c r="B22">
        <v>1005</v>
      </c>
      <c r="C22">
        <v>5</v>
      </c>
      <c r="D22" t="s">
        <v>80</v>
      </c>
      <c r="E22">
        <v>20</v>
      </c>
      <c r="F22" t="s">
        <v>87</v>
      </c>
      <c r="G22" s="1">
        <v>45048</v>
      </c>
      <c r="H22">
        <v>2</v>
      </c>
      <c r="I22">
        <v>3</v>
      </c>
      <c r="J22" t="s">
        <v>88</v>
      </c>
      <c r="K22">
        <v>1946</v>
      </c>
      <c r="L22" t="s">
        <v>89</v>
      </c>
      <c r="M22" t="s">
        <v>47</v>
      </c>
      <c r="N22" t="s">
        <v>82</v>
      </c>
      <c r="O22" t="s">
        <v>83</v>
      </c>
      <c r="P22" s="1">
        <v>32080</v>
      </c>
      <c r="Q22" t="s">
        <v>41</v>
      </c>
      <c r="R22" t="s">
        <v>42</v>
      </c>
    </row>
    <row r="23" spans="1:18" x14ac:dyDescent="0.2">
      <c r="A23">
        <v>15</v>
      </c>
      <c r="B23">
        <v>1005</v>
      </c>
      <c r="C23">
        <v>15</v>
      </c>
      <c r="D23" t="s">
        <v>90</v>
      </c>
      <c r="E23">
        <v>15</v>
      </c>
      <c r="F23" t="s">
        <v>91</v>
      </c>
      <c r="G23" s="1">
        <v>45236</v>
      </c>
      <c r="H23">
        <v>3</v>
      </c>
      <c r="I23">
        <v>2</v>
      </c>
      <c r="J23" t="s">
        <v>88</v>
      </c>
      <c r="K23">
        <v>1946</v>
      </c>
      <c r="L23" t="s">
        <v>89</v>
      </c>
      <c r="M23" t="s">
        <v>47</v>
      </c>
      <c r="N23" t="s">
        <v>92</v>
      </c>
      <c r="O23" t="s">
        <v>93</v>
      </c>
      <c r="P23" s="1">
        <v>32888</v>
      </c>
      <c r="Q23" t="s">
        <v>65</v>
      </c>
      <c r="R23" t="s">
        <v>66</v>
      </c>
    </row>
    <row r="24" spans="1:18" x14ac:dyDescent="0.2">
      <c r="A24">
        <v>25</v>
      </c>
      <c r="B24">
        <v>1005</v>
      </c>
      <c r="C24">
        <v>25</v>
      </c>
      <c r="D24" t="s">
        <v>94</v>
      </c>
      <c r="E24">
        <v>17</v>
      </c>
      <c r="F24" t="s">
        <v>95</v>
      </c>
      <c r="G24" s="1">
        <v>45245</v>
      </c>
      <c r="H24">
        <v>2</v>
      </c>
      <c r="I24">
        <v>3</v>
      </c>
      <c r="J24" t="s">
        <v>88</v>
      </c>
      <c r="K24">
        <v>1946</v>
      </c>
      <c r="L24" t="s">
        <v>89</v>
      </c>
      <c r="M24" t="s">
        <v>47</v>
      </c>
      <c r="N24" t="s">
        <v>96</v>
      </c>
      <c r="O24" t="s">
        <v>83</v>
      </c>
      <c r="P24" s="1">
        <v>35993</v>
      </c>
      <c r="Q24" t="s">
        <v>31</v>
      </c>
      <c r="R24" t="s">
        <v>32</v>
      </c>
    </row>
    <row r="25" spans="1:18" x14ac:dyDescent="0.2">
      <c r="A25">
        <v>34</v>
      </c>
      <c r="B25">
        <v>1005</v>
      </c>
      <c r="C25">
        <v>4</v>
      </c>
      <c r="D25" t="s">
        <v>97</v>
      </c>
      <c r="E25">
        <v>11</v>
      </c>
      <c r="F25" t="s">
        <v>73</v>
      </c>
      <c r="G25" s="1">
        <v>45042</v>
      </c>
      <c r="H25">
        <v>0</v>
      </c>
      <c r="I25">
        <v>3</v>
      </c>
      <c r="J25" t="s">
        <v>88</v>
      </c>
      <c r="K25">
        <v>1946</v>
      </c>
      <c r="L25" t="s">
        <v>89</v>
      </c>
      <c r="M25" t="s">
        <v>47</v>
      </c>
      <c r="N25" t="s">
        <v>56</v>
      </c>
      <c r="O25" t="s">
        <v>98</v>
      </c>
      <c r="P25" s="1">
        <v>34926</v>
      </c>
      <c r="Q25" t="s">
        <v>65</v>
      </c>
      <c r="R25" t="s">
        <v>66</v>
      </c>
    </row>
    <row r="26" spans="1:18" x14ac:dyDescent="0.2">
      <c r="A26">
        <v>45</v>
      </c>
      <c r="B26">
        <v>1005</v>
      </c>
      <c r="C26">
        <v>25</v>
      </c>
      <c r="D26" t="s">
        <v>80</v>
      </c>
      <c r="E26">
        <v>15</v>
      </c>
      <c r="F26" t="s">
        <v>95</v>
      </c>
      <c r="G26" s="1">
        <v>45245</v>
      </c>
      <c r="H26">
        <v>2</v>
      </c>
      <c r="I26">
        <v>3</v>
      </c>
      <c r="J26" t="s">
        <v>88</v>
      </c>
      <c r="K26">
        <v>1946</v>
      </c>
      <c r="L26" t="s">
        <v>89</v>
      </c>
      <c r="M26" t="s">
        <v>47</v>
      </c>
      <c r="N26" t="s">
        <v>82</v>
      </c>
      <c r="O26" t="s">
        <v>83</v>
      </c>
      <c r="P26" s="1">
        <v>32080</v>
      </c>
      <c r="Q26" t="s">
        <v>41</v>
      </c>
      <c r="R26" t="s">
        <v>42</v>
      </c>
    </row>
    <row r="27" spans="1:18" x14ac:dyDescent="0.2">
      <c r="A27">
        <v>6</v>
      </c>
      <c r="B27">
        <v>1006</v>
      </c>
      <c r="C27">
        <v>6</v>
      </c>
      <c r="D27" t="s">
        <v>94</v>
      </c>
      <c r="E27">
        <v>5</v>
      </c>
      <c r="F27" t="s">
        <v>99</v>
      </c>
      <c r="G27" s="1">
        <v>45086</v>
      </c>
      <c r="H27">
        <v>1</v>
      </c>
      <c r="I27">
        <v>3</v>
      </c>
      <c r="J27" t="s">
        <v>100</v>
      </c>
      <c r="K27">
        <v>2001</v>
      </c>
      <c r="L27" t="s">
        <v>101</v>
      </c>
      <c r="M27" t="s">
        <v>102</v>
      </c>
      <c r="N27" t="s">
        <v>96</v>
      </c>
      <c r="O27" t="s">
        <v>83</v>
      </c>
      <c r="P27" s="1">
        <v>35993</v>
      </c>
      <c r="Q27" t="s">
        <v>31</v>
      </c>
      <c r="R27" t="s">
        <v>32</v>
      </c>
    </row>
    <row r="28" spans="1:18" x14ac:dyDescent="0.2">
      <c r="A28">
        <v>16</v>
      </c>
      <c r="B28">
        <v>1006</v>
      </c>
      <c r="C28">
        <v>16</v>
      </c>
      <c r="D28" t="s">
        <v>103</v>
      </c>
      <c r="E28">
        <v>11</v>
      </c>
      <c r="F28" t="s">
        <v>104</v>
      </c>
      <c r="G28" s="1">
        <v>45279</v>
      </c>
      <c r="H28">
        <v>3</v>
      </c>
      <c r="I28">
        <v>0</v>
      </c>
      <c r="J28" t="s">
        <v>100</v>
      </c>
      <c r="K28">
        <v>2001</v>
      </c>
      <c r="L28" t="s">
        <v>101</v>
      </c>
      <c r="M28" t="s">
        <v>102</v>
      </c>
      <c r="N28" t="s">
        <v>105</v>
      </c>
      <c r="O28" t="s">
        <v>106</v>
      </c>
      <c r="P28" s="1">
        <v>40178</v>
      </c>
      <c r="Q28" t="s">
        <v>25</v>
      </c>
      <c r="R28" t="s">
        <v>26</v>
      </c>
    </row>
    <row r="29" spans="1:18" x14ac:dyDescent="0.2">
      <c r="A29">
        <v>26</v>
      </c>
      <c r="B29">
        <v>1006</v>
      </c>
      <c r="C29">
        <v>26</v>
      </c>
      <c r="D29" t="s">
        <v>37</v>
      </c>
      <c r="E29">
        <v>21</v>
      </c>
      <c r="F29" t="s">
        <v>107</v>
      </c>
      <c r="G29" s="1">
        <v>45252</v>
      </c>
      <c r="H29">
        <v>3</v>
      </c>
      <c r="I29">
        <v>0</v>
      </c>
      <c r="J29" t="s">
        <v>100</v>
      </c>
      <c r="K29">
        <v>2001</v>
      </c>
      <c r="L29" t="s">
        <v>101</v>
      </c>
      <c r="M29" t="s">
        <v>102</v>
      </c>
      <c r="N29" t="s">
        <v>39</v>
      </c>
      <c r="O29" t="s">
        <v>40</v>
      </c>
      <c r="P29" s="1">
        <v>37216</v>
      </c>
      <c r="Q29" t="s">
        <v>41</v>
      </c>
      <c r="R29" t="s">
        <v>42</v>
      </c>
    </row>
    <row r="30" spans="1:18" x14ac:dyDescent="0.2">
      <c r="A30">
        <v>35</v>
      </c>
      <c r="B30">
        <v>1006</v>
      </c>
      <c r="C30">
        <v>5</v>
      </c>
      <c r="D30" t="s">
        <v>108</v>
      </c>
      <c r="E30">
        <v>13</v>
      </c>
      <c r="F30" t="s">
        <v>87</v>
      </c>
      <c r="G30" s="1">
        <v>45048</v>
      </c>
      <c r="H30">
        <v>2</v>
      </c>
      <c r="I30">
        <v>3</v>
      </c>
      <c r="J30" t="s">
        <v>100</v>
      </c>
      <c r="K30">
        <v>2001</v>
      </c>
      <c r="L30" t="s">
        <v>101</v>
      </c>
      <c r="M30" t="s">
        <v>102</v>
      </c>
      <c r="N30" t="s">
        <v>85</v>
      </c>
      <c r="O30" t="s">
        <v>109</v>
      </c>
      <c r="P30" s="1">
        <v>34960</v>
      </c>
      <c r="Q30" t="s">
        <v>52</v>
      </c>
      <c r="R30" t="s">
        <v>53</v>
      </c>
    </row>
    <row r="31" spans="1:18" x14ac:dyDescent="0.2">
      <c r="A31">
        <v>46</v>
      </c>
      <c r="B31">
        <v>1006</v>
      </c>
      <c r="C31">
        <v>26</v>
      </c>
      <c r="D31" t="s">
        <v>94</v>
      </c>
      <c r="E31">
        <v>14</v>
      </c>
      <c r="F31" t="s">
        <v>107</v>
      </c>
      <c r="G31" s="1">
        <v>45252</v>
      </c>
      <c r="H31">
        <v>3</v>
      </c>
      <c r="I31">
        <v>0</v>
      </c>
      <c r="J31" t="s">
        <v>100</v>
      </c>
      <c r="K31">
        <v>2001</v>
      </c>
      <c r="L31" t="s">
        <v>101</v>
      </c>
      <c r="M31" t="s">
        <v>102</v>
      </c>
      <c r="N31" t="s">
        <v>96</v>
      </c>
      <c r="O31" t="s">
        <v>83</v>
      </c>
      <c r="P31" s="1">
        <v>35993</v>
      </c>
      <c r="Q31" t="s">
        <v>31</v>
      </c>
      <c r="R31" t="s">
        <v>32</v>
      </c>
    </row>
    <row r="32" spans="1:18" x14ac:dyDescent="0.2">
      <c r="A32">
        <v>7</v>
      </c>
      <c r="B32">
        <v>1007</v>
      </c>
      <c r="C32">
        <v>7</v>
      </c>
      <c r="D32" t="s">
        <v>37</v>
      </c>
      <c r="E32">
        <v>18</v>
      </c>
      <c r="F32" t="s">
        <v>110</v>
      </c>
      <c r="G32" s="1">
        <v>45202</v>
      </c>
      <c r="H32">
        <v>3</v>
      </c>
      <c r="I32">
        <v>1</v>
      </c>
      <c r="J32" t="s">
        <v>111</v>
      </c>
      <c r="K32">
        <v>1990</v>
      </c>
      <c r="L32" t="s">
        <v>112</v>
      </c>
      <c r="M32" t="s">
        <v>113</v>
      </c>
      <c r="N32" t="s">
        <v>39</v>
      </c>
      <c r="O32" t="s">
        <v>40</v>
      </c>
      <c r="P32" s="1">
        <v>37216</v>
      </c>
      <c r="Q32" t="s">
        <v>41</v>
      </c>
      <c r="R32" t="s">
        <v>42</v>
      </c>
    </row>
    <row r="33" spans="1:18" x14ac:dyDescent="0.2">
      <c r="A33">
        <v>17</v>
      </c>
      <c r="B33">
        <v>1007</v>
      </c>
      <c r="C33">
        <v>17</v>
      </c>
      <c r="D33" t="s">
        <v>108</v>
      </c>
      <c r="E33">
        <v>29</v>
      </c>
      <c r="F33" t="s">
        <v>114</v>
      </c>
      <c r="G33" s="1">
        <v>45007</v>
      </c>
      <c r="H33">
        <v>2</v>
      </c>
      <c r="I33">
        <v>3</v>
      </c>
      <c r="J33" t="s">
        <v>111</v>
      </c>
      <c r="K33">
        <v>1990</v>
      </c>
      <c r="L33" t="s">
        <v>112</v>
      </c>
      <c r="M33" t="s">
        <v>113</v>
      </c>
      <c r="N33" t="s">
        <v>85</v>
      </c>
      <c r="O33" t="s">
        <v>109</v>
      </c>
      <c r="P33" s="1">
        <v>34960</v>
      </c>
      <c r="Q33" t="s">
        <v>52</v>
      </c>
      <c r="R33" t="s">
        <v>53</v>
      </c>
    </row>
    <row r="34" spans="1:18" x14ac:dyDescent="0.2">
      <c r="A34">
        <v>27</v>
      </c>
      <c r="B34">
        <v>1007</v>
      </c>
      <c r="C34">
        <v>27</v>
      </c>
      <c r="D34" t="s">
        <v>115</v>
      </c>
      <c r="E34">
        <v>20</v>
      </c>
      <c r="F34" t="s">
        <v>116</v>
      </c>
      <c r="G34" s="1">
        <v>45264</v>
      </c>
      <c r="H34">
        <v>3</v>
      </c>
      <c r="I34">
        <v>0</v>
      </c>
      <c r="J34" t="s">
        <v>111</v>
      </c>
      <c r="K34">
        <v>1990</v>
      </c>
      <c r="L34" t="s">
        <v>112</v>
      </c>
      <c r="M34" t="s">
        <v>113</v>
      </c>
      <c r="N34" t="s">
        <v>49</v>
      </c>
      <c r="O34" t="s">
        <v>117</v>
      </c>
      <c r="P34" s="1">
        <v>38557</v>
      </c>
      <c r="Q34" t="s">
        <v>65</v>
      </c>
      <c r="R34" t="s">
        <v>66</v>
      </c>
    </row>
    <row r="35" spans="1:18" x14ac:dyDescent="0.2">
      <c r="A35">
        <v>36</v>
      </c>
      <c r="B35">
        <v>1007</v>
      </c>
      <c r="C35">
        <v>6</v>
      </c>
      <c r="D35" t="s">
        <v>103</v>
      </c>
      <c r="E35">
        <v>7</v>
      </c>
      <c r="F35" t="s">
        <v>99</v>
      </c>
      <c r="G35" s="1">
        <v>45086</v>
      </c>
      <c r="H35">
        <v>1</v>
      </c>
      <c r="I35">
        <v>3</v>
      </c>
      <c r="J35" t="s">
        <v>111</v>
      </c>
      <c r="K35">
        <v>1990</v>
      </c>
      <c r="L35" t="s">
        <v>112</v>
      </c>
      <c r="M35" t="s">
        <v>113</v>
      </c>
      <c r="N35" t="s">
        <v>105</v>
      </c>
      <c r="O35" t="s">
        <v>106</v>
      </c>
      <c r="P35" s="1">
        <v>40178</v>
      </c>
      <c r="Q35" t="s">
        <v>25</v>
      </c>
      <c r="R35" t="s">
        <v>26</v>
      </c>
    </row>
    <row r="36" spans="1:18" x14ac:dyDescent="0.2">
      <c r="A36">
        <v>47</v>
      </c>
      <c r="B36">
        <v>1007</v>
      </c>
      <c r="C36">
        <v>27</v>
      </c>
      <c r="D36" t="s">
        <v>37</v>
      </c>
      <c r="E36">
        <v>11</v>
      </c>
      <c r="F36" t="s">
        <v>116</v>
      </c>
      <c r="G36" s="1">
        <v>45264</v>
      </c>
      <c r="H36">
        <v>3</v>
      </c>
      <c r="I36">
        <v>0</v>
      </c>
      <c r="J36" t="s">
        <v>111</v>
      </c>
      <c r="K36">
        <v>1990</v>
      </c>
      <c r="L36" t="s">
        <v>112</v>
      </c>
      <c r="M36" t="s">
        <v>113</v>
      </c>
      <c r="N36" t="s">
        <v>39</v>
      </c>
      <c r="O36" t="s">
        <v>40</v>
      </c>
      <c r="P36" s="1">
        <v>37216</v>
      </c>
      <c r="Q36" t="s">
        <v>41</v>
      </c>
      <c r="R36" t="s">
        <v>42</v>
      </c>
    </row>
    <row r="37" spans="1:18" x14ac:dyDescent="0.2">
      <c r="A37">
        <v>8</v>
      </c>
      <c r="B37">
        <v>1008</v>
      </c>
      <c r="C37">
        <v>8</v>
      </c>
      <c r="D37" t="s">
        <v>115</v>
      </c>
      <c r="E37">
        <v>24</v>
      </c>
      <c r="F37" t="s">
        <v>118</v>
      </c>
      <c r="G37" s="1">
        <v>45225</v>
      </c>
      <c r="H37">
        <v>3</v>
      </c>
      <c r="I37">
        <v>0</v>
      </c>
      <c r="J37" t="s">
        <v>119</v>
      </c>
      <c r="K37">
        <v>2003</v>
      </c>
      <c r="L37" t="s">
        <v>120</v>
      </c>
      <c r="M37" t="s">
        <v>113</v>
      </c>
      <c r="N37" t="s">
        <v>49</v>
      </c>
      <c r="O37" t="s">
        <v>117</v>
      </c>
      <c r="P37" s="1">
        <v>38557</v>
      </c>
      <c r="Q37" t="s">
        <v>65</v>
      </c>
      <c r="R37" t="s">
        <v>66</v>
      </c>
    </row>
    <row r="38" spans="1:18" x14ac:dyDescent="0.2">
      <c r="A38">
        <v>18</v>
      </c>
      <c r="B38">
        <v>1008</v>
      </c>
      <c r="C38">
        <v>18</v>
      </c>
      <c r="D38" t="s">
        <v>97</v>
      </c>
      <c r="E38">
        <v>22</v>
      </c>
      <c r="F38" t="s">
        <v>121</v>
      </c>
      <c r="G38" s="1">
        <v>44968</v>
      </c>
      <c r="H38">
        <v>0</v>
      </c>
      <c r="I38">
        <v>3</v>
      </c>
      <c r="J38" t="s">
        <v>119</v>
      </c>
      <c r="K38">
        <v>2003</v>
      </c>
      <c r="L38" t="s">
        <v>120</v>
      </c>
      <c r="M38" t="s">
        <v>113</v>
      </c>
      <c r="N38" t="s">
        <v>56</v>
      </c>
      <c r="O38" t="s">
        <v>98</v>
      </c>
      <c r="P38" s="1">
        <v>34926</v>
      </c>
      <c r="Q38" t="s">
        <v>65</v>
      </c>
      <c r="R38" t="s">
        <v>66</v>
      </c>
    </row>
    <row r="39" spans="1:18" x14ac:dyDescent="0.2">
      <c r="A39">
        <v>28</v>
      </c>
      <c r="B39">
        <v>1008</v>
      </c>
      <c r="C39">
        <v>28</v>
      </c>
      <c r="D39" t="s">
        <v>122</v>
      </c>
      <c r="E39">
        <v>14</v>
      </c>
      <c r="F39" t="s">
        <v>123</v>
      </c>
      <c r="G39" s="1">
        <v>45280</v>
      </c>
      <c r="H39">
        <v>3</v>
      </c>
      <c r="I39">
        <v>1</v>
      </c>
      <c r="J39" t="s">
        <v>119</v>
      </c>
      <c r="K39">
        <v>2003</v>
      </c>
      <c r="L39" t="s">
        <v>120</v>
      </c>
      <c r="M39" t="s">
        <v>113</v>
      </c>
      <c r="N39" t="s">
        <v>124</v>
      </c>
      <c r="O39" t="s">
        <v>125</v>
      </c>
      <c r="P39" s="1">
        <v>38186</v>
      </c>
      <c r="Q39" t="s">
        <v>31</v>
      </c>
      <c r="R39" t="s">
        <v>32</v>
      </c>
    </row>
    <row r="40" spans="1:18" x14ac:dyDescent="0.2">
      <c r="A40">
        <v>37</v>
      </c>
      <c r="B40">
        <v>1008</v>
      </c>
      <c r="C40">
        <v>7</v>
      </c>
      <c r="D40" t="s">
        <v>90</v>
      </c>
      <c r="E40">
        <v>9</v>
      </c>
      <c r="F40" t="s">
        <v>110</v>
      </c>
      <c r="G40" s="1">
        <v>45202</v>
      </c>
      <c r="H40">
        <v>3</v>
      </c>
      <c r="I40">
        <v>1</v>
      </c>
      <c r="J40" t="s">
        <v>119</v>
      </c>
      <c r="K40">
        <v>2003</v>
      </c>
      <c r="L40" t="s">
        <v>120</v>
      </c>
      <c r="M40" t="s">
        <v>113</v>
      </c>
      <c r="N40" t="s">
        <v>92</v>
      </c>
      <c r="O40" t="s">
        <v>93</v>
      </c>
      <c r="P40" s="1">
        <v>32888</v>
      </c>
      <c r="Q40" t="s">
        <v>65</v>
      </c>
      <c r="R40" t="s">
        <v>66</v>
      </c>
    </row>
    <row r="41" spans="1:18" x14ac:dyDescent="0.2">
      <c r="A41">
        <v>48</v>
      </c>
      <c r="B41">
        <v>1008</v>
      </c>
      <c r="C41">
        <v>28</v>
      </c>
      <c r="D41" t="s">
        <v>115</v>
      </c>
      <c r="E41">
        <v>0</v>
      </c>
      <c r="F41" t="s">
        <v>123</v>
      </c>
      <c r="G41" s="1">
        <v>45280</v>
      </c>
      <c r="H41">
        <v>3</v>
      </c>
      <c r="I41">
        <v>1</v>
      </c>
      <c r="J41" t="s">
        <v>119</v>
      </c>
      <c r="K41">
        <v>2003</v>
      </c>
      <c r="L41" t="s">
        <v>120</v>
      </c>
      <c r="M41" t="s">
        <v>113</v>
      </c>
      <c r="N41" t="s">
        <v>49</v>
      </c>
      <c r="O41" t="s">
        <v>117</v>
      </c>
      <c r="P41" s="1">
        <v>38557</v>
      </c>
      <c r="Q41" t="s">
        <v>65</v>
      </c>
      <c r="R41" t="s">
        <v>66</v>
      </c>
    </row>
    <row r="42" spans="1:18" x14ac:dyDescent="0.2">
      <c r="A42">
        <v>9</v>
      </c>
      <c r="B42">
        <v>1009</v>
      </c>
      <c r="C42">
        <v>9</v>
      </c>
      <c r="D42" t="s">
        <v>122</v>
      </c>
      <c r="E42">
        <v>13</v>
      </c>
      <c r="F42" t="s">
        <v>50</v>
      </c>
      <c r="G42" s="1">
        <v>45252</v>
      </c>
      <c r="H42">
        <v>0</v>
      </c>
      <c r="I42">
        <v>3</v>
      </c>
      <c r="J42" t="s">
        <v>126</v>
      </c>
      <c r="K42">
        <v>1986</v>
      </c>
      <c r="L42" t="s">
        <v>127</v>
      </c>
      <c r="M42" t="s">
        <v>76</v>
      </c>
      <c r="N42" t="s">
        <v>124</v>
      </c>
      <c r="O42" t="s">
        <v>125</v>
      </c>
      <c r="P42" s="1">
        <v>38186</v>
      </c>
      <c r="Q42" t="s">
        <v>31</v>
      </c>
      <c r="R42" t="s">
        <v>32</v>
      </c>
    </row>
    <row r="43" spans="1:18" x14ac:dyDescent="0.2">
      <c r="A43">
        <v>19</v>
      </c>
      <c r="B43">
        <v>1009</v>
      </c>
      <c r="C43">
        <v>19</v>
      </c>
      <c r="D43" t="s">
        <v>84</v>
      </c>
      <c r="E43">
        <v>10</v>
      </c>
      <c r="F43" t="s">
        <v>128</v>
      </c>
      <c r="G43" s="1">
        <v>45022</v>
      </c>
      <c r="H43">
        <v>1</v>
      </c>
      <c r="I43">
        <v>3</v>
      </c>
      <c r="J43" t="s">
        <v>126</v>
      </c>
      <c r="K43">
        <v>1986</v>
      </c>
      <c r="L43" t="s">
        <v>127</v>
      </c>
      <c r="M43" t="s">
        <v>76</v>
      </c>
      <c r="N43" t="s">
        <v>85</v>
      </c>
      <c r="O43" t="s">
        <v>86</v>
      </c>
      <c r="P43" s="1">
        <v>40082</v>
      </c>
      <c r="Q43" t="s">
        <v>25</v>
      </c>
      <c r="R43" t="s">
        <v>26</v>
      </c>
    </row>
    <row r="44" spans="1:18" x14ac:dyDescent="0.2">
      <c r="A44">
        <v>29</v>
      </c>
      <c r="B44">
        <v>1009</v>
      </c>
      <c r="C44">
        <v>29</v>
      </c>
      <c r="D44" t="s">
        <v>129</v>
      </c>
      <c r="E44">
        <v>16</v>
      </c>
      <c r="F44" t="s">
        <v>130</v>
      </c>
      <c r="G44" s="1">
        <v>45276</v>
      </c>
      <c r="H44">
        <v>1</v>
      </c>
      <c r="I44">
        <v>3</v>
      </c>
      <c r="J44" t="s">
        <v>126</v>
      </c>
      <c r="K44">
        <v>1986</v>
      </c>
      <c r="L44" t="s">
        <v>127</v>
      </c>
      <c r="M44" t="s">
        <v>76</v>
      </c>
      <c r="N44" t="s">
        <v>131</v>
      </c>
      <c r="O44" t="s">
        <v>132</v>
      </c>
      <c r="P44" s="1">
        <v>34968</v>
      </c>
      <c r="Q44" t="s">
        <v>41</v>
      </c>
      <c r="R44" t="s">
        <v>42</v>
      </c>
    </row>
    <row r="45" spans="1:18" x14ac:dyDescent="0.2">
      <c r="A45">
        <v>38</v>
      </c>
      <c r="B45">
        <v>1009</v>
      </c>
      <c r="C45">
        <v>8</v>
      </c>
      <c r="D45" t="s">
        <v>77</v>
      </c>
      <c r="E45">
        <v>10</v>
      </c>
      <c r="F45" t="s">
        <v>118</v>
      </c>
      <c r="G45" s="1">
        <v>45225</v>
      </c>
      <c r="H45">
        <v>3</v>
      </c>
      <c r="I45">
        <v>0</v>
      </c>
      <c r="J45" t="s">
        <v>126</v>
      </c>
      <c r="K45">
        <v>1986</v>
      </c>
      <c r="L45" t="s">
        <v>127</v>
      </c>
      <c r="M45" t="s">
        <v>76</v>
      </c>
      <c r="N45" t="s">
        <v>23</v>
      </c>
      <c r="O45" t="s">
        <v>79</v>
      </c>
      <c r="P45" s="1">
        <v>40209</v>
      </c>
      <c r="Q45" t="s">
        <v>52</v>
      </c>
      <c r="R45" t="s">
        <v>53</v>
      </c>
    </row>
    <row r="46" spans="1:18" x14ac:dyDescent="0.2">
      <c r="A46">
        <v>49</v>
      </c>
      <c r="B46">
        <v>1009</v>
      </c>
      <c r="C46">
        <v>29</v>
      </c>
      <c r="D46" t="s">
        <v>122</v>
      </c>
      <c r="E46">
        <v>5</v>
      </c>
      <c r="F46" t="s">
        <v>130</v>
      </c>
      <c r="G46" s="1">
        <v>45276</v>
      </c>
      <c r="H46">
        <v>1</v>
      </c>
      <c r="I46">
        <v>3</v>
      </c>
      <c r="J46" t="s">
        <v>126</v>
      </c>
      <c r="K46">
        <v>1986</v>
      </c>
      <c r="L46" t="s">
        <v>127</v>
      </c>
      <c r="M46" t="s">
        <v>76</v>
      </c>
      <c r="N46" t="s">
        <v>124</v>
      </c>
      <c r="O46" t="s">
        <v>125</v>
      </c>
      <c r="P46" s="1">
        <v>38186</v>
      </c>
      <c r="Q46" t="s">
        <v>31</v>
      </c>
      <c r="R46" t="s">
        <v>32</v>
      </c>
    </row>
    <row r="47" spans="1:18" x14ac:dyDescent="0.2">
      <c r="A47">
        <v>10</v>
      </c>
      <c r="B47">
        <v>1010</v>
      </c>
      <c r="C47">
        <v>10</v>
      </c>
      <c r="D47" t="s">
        <v>129</v>
      </c>
      <c r="E47">
        <v>4</v>
      </c>
      <c r="F47" t="s">
        <v>38</v>
      </c>
      <c r="G47" s="1">
        <v>45239</v>
      </c>
      <c r="H47">
        <v>2</v>
      </c>
      <c r="I47">
        <v>3</v>
      </c>
      <c r="J47" t="s">
        <v>133</v>
      </c>
      <c r="K47">
        <v>2000</v>
      </c>
      <c r="L47" t="s">
        <v>134</v>
      </c>
      <c r="M47" t="s">
        <v>102</v>
      </c>
      <c r="N47" t="s">
        <v>131</v>
      </c>
      <c r="O47" t="s">
        <v>132</v>
      </c>
      <c r="P47" s="1">
        <v>34968</v>
      </c>
      <c r="Q47" t="s">
        <v>41</v>
      </c>
      <c r="R47" t="s">
        <v>42</v>
      </c>
    </row>
    <row r="48" spans="1:18" x14ac:dyDescent="0.2">
      <c r="A48">
        <v>20</v>
      </c>
      <c r="B48">
        <v>1010</v>
      </c>
      <c r="C48">
        <v>20</v>
      </c>
      <c r="D48" t="s">
        <v>70</v>
      </c>
      <c r="E48">
        <v>11</v>
      </c>
      <c r="F48" t="s">
        <v>43</v>
      </c>
      <c r="G48" s="1">
        <v>45083</v>
      </c>
      <c r="H48">
        <v>3</v>
      </c>
      <c r="I48">
        <v>2</v>
      </c>
      <c r="J48" t="s">
        <v>133</v>
      </c>
      <c r="K48">
        <v>2000</v>
      </c>
      <c r="L48" t="s">
        <v>134</v>
      </c>
      <c r="M48" t="s">
        <v>102</v>
      </c>
      <c r="N48" t="s">
        <v>71</v>
      </c>
      <c r="O48" t="s">
        <v>72</v>
      </c>
      <c r="P48" s="1">
        <v>32329</v>
      </c>
      <c r="Q48" t="s">
        <v>52</v>
      </c>
      <c r="R48" t="s">
        <v>53</v>
      </c>
    </row>
    <row r="49" spans="1:18" x14ac:dyDescent="0.2">
      <c r="A49">
        <v>30</v>
      </c>
      <c r="B49">
        <v>1010</v>
      </c>
      <c r="C49">
        <v>30</v>
      </c>
      <c r="D49" t="s">
        <v>27</v>
      </c>
      <c r="E49">
        <v>19</v>
      </c>
      <c r="F49" t="s">
        <v>135</v>
      </c>
      <c r="G49" s="1">
        <v>45183</v>
      </c>
      <c r="H49">
        <v>2</v>
      </c>
      <c r="I49">
        <v>3</v>
      </c>
      <c r="J49" t="s">
        <v>133</v>
      </c>
      <c r="K49">
        <v>2000</v>
      </c>
      <c r="L49" t="s">
        <v>134</v>
      </c>
      <c r="M49" t="s">
        <v>102</v>
      </c>
      <c r="N49" t="s">
        <v>29</v>
      </c>
      <c r="O49" t="s">
        <v>30</v>
      </c>
      <c r="P49" s="1">
        <v>33727</v>
      </c>
      <c r="Q49" t="s">
        <v>31</v>
      </c>
      <c r="R49" t="s">
        <v>32</v>
      </c>
    </row>
    <row r="50" spans="1:18" x14ac:dyDescent="0.2">
      <c r="A50">
        <v>39</v>
      </c>
      <c r="B50">
        <v>1010</v>
      </c>
      <c r="C50">
        <v>9</v>
      </c>
      <c r="D50" t="s">
        <v>61</v>
      </c>
      <c r="E50">
        <v>17</v>
      </c>
      <c r="F50" t="s">
        <v>50</v>
      </c>
      <c r="G50" s="1">
        <v>45252</v>
      </c>
      <c r="H50">
        <v>0</v>
      </c>
      <c r="I50">
        <v>3</v>
      </c>
      <c r="J50" t="s">
        <v>133</v>
      </c>
      <c r="K50">
        <v>2000</v>
      </c>
      <c r="L50" t="s">
        <v>134</v>
      </c>
      <c r="M50" t="s">
        <v>102</v>
      </c>
      <c r="N50" t="s">
        <v>63</v>
      </c>
      <c r="O50" t="s">
        <v>64</v>
      </c>
      <c r="P50" s="1">
        <v>35134</v>
      </c>
      <c r="Q50" t="s">
        <v>65</v>
      </c>
      <c r="R50" t="s">
        <v>66</v>
      </c>
    </row>
    <row r="51" spans="1:18" x14ac:dyDescent="0.2">
      <c r="A51">
        <v>50</v>
      </c>
      <c r="B51">
        <v>1010</v>
      </c>
      <c r="C51">
        <v>30</v>
      </c>
      <c r="D51" t="s">
        <v>129</v>
      </c>
      <c r="E51">
        <v>9</v>
      </c>
      <c r="F51" t="s">
        <v>135</v>
      </c>
      <c r="G51" s="1">
        <v>45183</v>
      </c>
      <c r="H51">
        <v>2</v>
      </c>
      <c r="I51">
        <v>3</v>
      </c>
      <c r="J51" t="s">
        <v>133</v>
      </c>
      <c r="K51">
        <v>2000</v>
      </c>
      <c r="L51" t="s">
        <v>134</v>
      </c>
      <c r="M51" t="s">
        <v>102</v>
      </c>
      <c r="N51" t="s">
        <v>131</v>
      </c>
      <c r="O51" t="s">
        <v>132</v>
      </c>
      <c r="P51" s="1">
        <v>34968</v>
      </c>
      <c r="Q51" t="s">
        <v>41</v>
      </c>
      <c r="R5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1</vt:i4>
      </vt:variant>
    </vt:vector>
  </HeadingPairs>
  <TitlesOfParts>
    <vt:vector size="4" baseType="lpstr">
      <vt:lpstr>Foglio2</vt:lpstr>
      <vt:lpstr>Foglio4</vt:lpstr>
      <vt:lpstr>Foglio1</vt:lpstr>
      <vt:lpstr>Foglio1!psg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Alessia Lucente</dc:creator>
  <cp:lastModifiedBy>Alessia Lucente</cp:lastModifiedBy>
  <dcterms:created xsi:type="dcterms:W3CDTF">2024-12-04T14:59:04Z</dcterms:created>
  <dcterms:modified xsi:type="dcterms:W3CDTF">2024-12-18T17:59:32Z</dcterms:modified>
</cp:coreProperties>
</file>